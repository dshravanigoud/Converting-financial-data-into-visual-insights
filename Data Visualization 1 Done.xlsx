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/>
  <mc:AlternateContent xmlns:mc="http://schemas.openxmlformats.org/markup-compatibility/2006">
    <mc:Choice Requires="x15">
      <x15ac:absPath xmlns:x15ac="http://schemas.microsoft.com/office/spreadsheetml/2010/11/ac" url="/Users/shravanigouddindu/Downloads/"/>
    </mc:Choice>
  </mc:AlternateContent>
  <xr:revisionPtr revIDLastSave="0" documentId="13_ncr:1_{E2785D0D-A375-D549-A039-A33A6224A03B}" xr6:coauthVersionLast="47" xr6:coauthVersionMax="47" xr10:uidLastSave="{00000000-0000-0000-0000-000000000000}"/>
  <bookViews>
    <workbookView xWindow="0" yWindow="760" windowWidth="25220" windowHeight="18360" tabRatio="634" activeTab="1" xr2:uid="{00000000-000D-0000-FFFF-FFFF00000000}"/>
  </bookViews>
  <sheets>
    <sheet name="Cover Page" sheetId="6" r:id="rId1"/>
    <sheet name="Dashboard 1" sheetId="5" r:id="rId2"/>
  </sheets>
  <definedNames>
    <definedName name="_xlchart.v1.0" hidden="1">'Dashboard 1'!$G$61</definedName>
    <definedName name="_xlchart.v1.1" hidden="1">'Dashboard 1'!$G$68</definedName>
    <definedName name="_xlchart.v1.2" hidden="1">'Dashboard 1'!$G$69:$G$71</definedName>
    <definedName name="_xlchart.v1.3" hidden="1">'Dashboard 1'!$H$62:$H$66</definedName>
    <definedName name="_xlchart.v1.4" hidden="1">'Dashboard 1'!$H$69:$H$71</definedName>
    <definedName name="_xlchart.v1.5" hidden="1">'Dashboard 1'!$G$61</definedName>
    <definedName name="_xlchart.v1.6" hidden="1">'Dashboard 1'!$G$68</definedName>
    <definedName name="_xlchart.v1.7" hidden="1">'Dashboard 1'!$G$69:$G$71</definedName>
    <definedName name="_xlchart.v1.8" hidden="1">'Dashboard 1'!$H$62:$H$66</definedName>
    <definedName name="_xlchart.v1.9" hidden="1">'Dashboard 1'!$H$69:$H$71</definedName>
    <definedName name="CIQWBGuid" localSheetId="0" hidden="1">"2cd8126d-26c3-430c-b7fa-a069e3a1fc62"</definedName>
    <definedName name="CIQWBGuid" hidden="1">"3a76856e-063b-4329-b2c5-ae285df6792b"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localSheetId="0" hidden="1">41666.7099189815</definedName>
    <definedName name="IQ_NAMES_REVISION_DATE_" hidden="1">41887.7188541667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0">'Cover Page'!$A$1:$P$26</definedName>
    <definedName name="_xlnm.Print_Area" localSheetId="1">'Dashboard 1'!$A$1:$M$38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9" i="5" l="1"/>
  <c r="K69" i="5"/>
  <c r="H69" i="5"/>
  <c r="E69" i="5"/>
  <c r="C15" i="6"/>
  <c r="N66" i="5" l="1"/>
  <c r="N71" i="5" s="1"/>
  <c r="K66" i="5"/>
  <c r="K71" i="5" s="1"/>
  <c r="H66" i="5"/>
  <c r="H71" i="5" s="1"/>
  <c r="E66" i="5"/>
  <c r="E71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CFI</author>
  </authors>
  <commentList>
    <comment ref="E70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CFI:</t>
        </r>
        <r>
          <rPr>
            <sz val="9"/>
            <color indexed="81"/>
            <rFont val="Tahoma"/>
            <family val="2"/>
          </rPr>
          <t xml:space="preserve">
Width of needle
</t>
        </r>
      </text>
    </comment>
    <comment ref="H70" authorId="0" shapeId="0" xr:uid="{00000000-0006-0000-0000-000002000000}">
      <text>
        <r>
          <rPr>
            <b/>
            <sz val="9"/>
            <color rgb="FF000000"/>
            <rFont val="Tahoma"/>
            <family val="2"/>
          </rPr>
          <t>CFI: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Width of needle
</t>
        </r>
      </text>
    </comment>
    <comment ref="K70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CFI:</t>
        </r>
        <r>
          <rPr>
            <sz val="9"/>
            <color indexed="81"/>
            <rFont val="Tahoma"/>
            <family val="2"/>
          </rPr>
          <t xml:space="preserve">
Width of needle
</t>
        </r>
      </text>
    </comment>
    <comment ref="N70" authorId="0" shapeId="0" xr:uid="{00000000-0006-0000-0000-000004000000}">
      <text>
        <r>
          <rPr>
            <b/>
            <sz val="9"/>
            <color rgb="FF000000"/>
            <rFont val="Tahoma"/>
            <family val="2"/>
          </rPr>
          <t>CFI: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Width of needle
</t>
        </r>
      </text>
    </comment>
  </commentList>
</comments>
</file>

<file path=xl/sharedStrings.xml><?xml version="1.0" encoding="utf-8"?>
<sst xmlns="http://schemas.openxmlformats.org/spreadsheetml/2006/main" count="75" uniqueCount="44">
  <si>
    <t>Total</t>
  </si>
  <si>
    <t>EBITDA</t>
  </si>
  <si>
    <t>Revenue</t>
  </si>
  <si>
    <t>Feb</t>
  </si>
  <si>
    <t>Mar</t>
  </si>
  <si>
    <t>Apr</t>
  </si>
  <si>
    <t>May</t>
  </si>
  <si>
    <t>Jun</t>
  </si>
  <si>
    <t>Jul</t>
  </si>
  <si>
    <t>Aug</t>
  </si>
  <si>
    <t>Sep</t>
  </si>
  <si>
    <t>DASHBOARD TEMPLATE</t>
  </si>
  <si>
    <t>Target</t>
  </si>
  <si>
    <t xml:space="preserve">Jan </t>
  </si>
  <si>
    <t>Oct</t>
  </si>
  <si>
    <t>Nov</t>
  </si>
  <si>
    <t>Dec</t>
  </si>
  <si>
    <t>Raw Data</t>
  </si>
  <si>
    <t>Start</t>
  </si>
  <si>
    <t>Weak</t>
  </si>
  <si>
    <t>OK</t>
  </si>
  <si>
    <t>Strong</t>
  </si>
  <si>
    <t>Range</t>
  </si>
  <si>
    <t>Performance</t>
  </si>
  <si>
    <t>End</t>
  </si>
  <si>
    <t>Website Traffic</t>
  </si>
  <si>
    <t># of Page Views</t>
  </si>
  <si>
    <t>Conversion Rate</t>
  </si>
  <si>
    <t>New Customers</t>
  </si>
  <si>
    <t># of Orders</t>
  </si>
  <si>
    <t>Strictly Confidential</t>
  </si>
  <si>
    <t>Table of Contents</t>
  </si>
  <si>
    <t>Notes</t>
  </si>
  <si>
    <t>This Excel model is for educational purposes only and should not be used for any other reason.</t>
  </si>
  <si>
    <t>All content is Copyright material of CFI Education Inc.</t>
  </si>
  <si>
    <t>https://corporatefinanceinstitute.com/</t>
  </si>
  <si>
    <t>© 2019 CFI Education Inc.</t>
  </si>
  <si>
    <t xml:space="preserve">All rights reserved.  The contents of this publication, including but not limited to all written material, content layout, images, formulas, and code, are protected under international copyright and trademark laws.  </t>
  </si>
  <si>
    <t xml:space="preserve">No part of this publication may be modified, manipulated, reproduced, distributed, or transmitted in any form by any means, including photocopying, recording, or other electronic or mechanical methods, </t>
  </si>
  <si>
    <t>without prior written permission of the publisher, except in the case of certain noncommercial uses permitted by copyright law.</t>
  </si>
  <si>
    <t>Dashboard Template 1 - Blank</t>
  </si>
  <si>
    <t>Growth</t>
  </si>
  <si>
    <t>EBITDA Margin</t>
  </si>
  <si>
    <t># of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</si>
</sst>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%"/>
    <numFmt numFmtId="166" formatCode="[$-409]d\-mmm\-yyyy;@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Arial"/>
      <family val="2"/>
    </font>
    <font>
      <sz val="16"/>
      <color theme="1"/>
      <name val="Arial"/>
      <family val="2"/>
    </font>
    <font>
      <sz val="9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theme="0"/>
      <name val="Arial"/>
      <family val="2"/>
    </font>
    <font>
      <sz val="11"/>
      <color rgb="FF0000FF"/>
      <name val="Arial"/>
      <family val="2"/>
    </font>
    <font>
      <sz val="11"/>
      <name val="Arial"/>
      <family val="2"/>
    </font>
    <font>
      <sz val="11"/>
      <color theme="0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 Narrow"/>
      <family val="2"/>
    </font>
    <font>
      <b/>
      <sz val="22"/>
      <color theme="1"/>
      <name val="Arial Narrow"/>
      <family val="2"/>
    </font>
    <font>
      <b/>
      <sz val="11"/>
      <color theme="1"/>
      <name val="Arial Narrow"/>
      <family val="2"/>
    </font>
    <font>
      <u/>
      <sz val="11"/>
      <color rgb="FF002060"/>
      <name val="Calibri"/>
      <family val="2"/>
      <scheme val="minor"/>
    </font>
    <font>
      <u/>
      <sz val="10"/>
      <color theme="10"/>
      <name val="Arial"/>
      <family val="2"/>
    </font>
    <font>
      <u/>
      <sz val="10"/>
      <color theme="1"/>
      <name val="Arial"/>
      <family val="2"/>
    </font>
    <font>
      <sz val="11"/>
      <color theme="0"/>
      <name val="Arial Narrow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rgb="FFED942D"/>
        <bgColor indexed="64"/>
      </patternFill>
    </fill>
    <fill>
      <patternFill patternType="solid">
        <fgColor rgb="FF132E57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" fillId="0" borderId="0"/>
    <xf numFmtId="0" fontId="19" fillId="0" borderId="0" applyNumberFormat="0" applyFill="0" applyBorder="0" applyAlignment="0" applyProtection="0"/>
  </cellStyleXfs>
  <cellXfs count="39">
    <xf numFmtId="0" fontId="0" fillId="0" borderId="0" xfId="0"/>
    <xf numFmtId="0" fontId="4" fillId="0" borderId="0" xfId="0" applyFont="1"/>
    <xf numFmtId="0" fontId="4" fillId="0" borderId="1" xfId="0" applyFont="1" applyBorder="1"/>
    <xf numFmtId="0" fontId="4" fillId="0" borderId="2" xfId="0" applyFont="1" applyBorder="1"/>
    <xf numFmtId="0" fontId="5" fillId="0" borderId="2" xfId="0" quotePrefix="1" applyFont="1" applyBorder="1"/>
    <xf numFmtId="166" fontId="6" fillId="0" borderId="0" xfId="0" applyNumberFormat="1" applyFont="1" applyAlignment="1">
      <alignment horizontal="left"/>
    </xf>
    <xf numFmtId="0" fontId="9" fillId="0" borderId="0" xfId="0" applyFont="1"/>
    <xf numFmtId="0" fontId="9" fillId="0" borderId="0" xfId="0" applyFont="1" applyAlignment="1">
      <alignment horizontal="right"/>
    </xf>
    <xf numFmtId="0" fontId="4" fillId="0" borderId="0" xfId="0" applyFont="1" applyAlignment="1">
      <alignment horizontal="centerContinuous"/>
    </xf>
    <xf numFmtId="9" fontId="4" fillId="0" borderId="0" xfId="1" applyFont="1"/>
    <xf numFmtId="1" fontId="4" fillId="0" borderId="0" xfId="0" applyNumberFormat="1" applyFont="1"/>
    <xf numFmtId="0" fontId="10" fillId="2" borderId="0" xfId="0" applyFont="1" applyFill="1"/>
    <xf numFmtId="37" fontId="4" fillId="0" borderId="0" xfId="0" applyNumberFormat="1" applyFont="1"/>
    <xf numFmtId="37" fontId="11" fillId="0" borderId="0" xfId="0" applyNumberFormat="1" applyFont="1"/>
    <xf numFmtId="165" fontId="11" fillId="0" borderId="0" xfId="1" applyNumberFormat="1" applyFont="1"/>
    <xf numFmtId="165" fontId="4" fillId="0" borderId="0" xfId="1" applyNumberFormat="1" applyFont="1"/>
    <xf numFmtId="9" fontId="11" fillId="0" borderId="0" xfId="1" applyFont="1" applyAlignment="1">
      <alignment horizontal="left"/>
    </xf>
    <xf numFmtId="0" fontId="11" fillId="0" borderId="0" xfId="0" applyFont="1"/>
    <xf numFmtId="0" fontId="12" fillId="0" borderId="0" xfId="0" applyFont="1"/>
    <xf numFmtId="0" fontId="11" fillId="0" borderId="1" xfId="0" applyFont="1" applyBorder="1"/>
    <xf numFmtId="0" fontId="13" fillId="2" borderId="0" xfId="0" applyFont="1" applyFill="1"/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 textRotation="90"/>
    </xf>
    <xf numFmtId="0" fontId="8" fillId="0" borderId="0" xfId="0" applyFont="1" applyAlignment="1">
      <alignment horizontal="center" vertical="center" textRotation="90"/>
    </xf>
    <xf numFmtId="0" fontId="15" fillId="3" borderId="0" xfId="4" applyFont="1" applyFill="1"/>
    <xf numFmtId="0" fontId="15" fillId="0" borderId="0" xfId="4" applyFont="1"/>
    <xf numFmtId="0" fontId="16" fillId="0" borderId="0" xfId="4" applyFont="1" applyProtection="1">
      <protection locked="0"/>
    </xf>
    <xf numFmtId="0" fontId="17" fillId="0" borderId="0" xfId="4" applyFont="1" applyAlignment="1">
      <alignment horizontal="right"/>
    </xf>
    <xf numFmtId="0" fontId="15" fillId="0" borderId="0" xfId="4" applyFont="1" applyProtection="1">
      <protection locked="0"/>
    </xf>
    <xf numFmtId="0" fontId="17" fillId="0" borderId="0" xfId="4" applyFont="1" applyProtection="1">
      <protection locked="0"/>
    </xf>
    <xf numFmtId="0" fontId="18" fillId="0" borderId="1" xfId="3" applyFont="1" applyFill="1" applyBorder="1" applyProtection="1">
      <protection locked="0"/>
    </xf>
    <xf numFmtId="0" fontId="1" fillId="0" borderId="0" xfId="4"/>
    <xf numFmtId="0" fontId="15" fillId="0" borderId="1" xfId="4" applyFont="1" applyBorder="1"/>
    <xf numFmtId="0" fontId="20" fillId="0" borderId="0" xfId="5" applyFont="1" applyFill="1" applyBorder="1"/>
    <xf numFmtId="0" fontId="21" fillId="4" borderId="0" xfId="4" applyFont="1" applyFill="1"/>
    <xf numFmtId="0" fontId="15" fillId="4" borderId="0" xfId="4" applyFont="1" applyFill="1"/>
    <xf numFmtId="0" fontId="15" fillId="5" borderId="0" xfId="4" applyFont="1" applyFill="1"/>
    <xf numFmtId="1" fontId="4" fillId="0" borderId="1" xfId="0" applyNumberFormat="1" applyFont="1" applyBorder="1"/>
    <xf numFmtId="0" fontId="13" fillId="2" borderId="0" xfId="0" applyFont="1" applyFill="1" applyAlignment="1">
      <alignment horizontal="center" vertical="center" textRotation="90"/>
    </xf>
  </cellXfs>
  <cellStyles count="6">
    <cellStyle name="Comma 2" xfId="2" xr:uid="{00000000-0005-0000-0000-000000000000}"/>
    <cellStyle name="Hyperlink" xfId="3" builtinId="8"/>
    <cellStyle name="Hyperlink 2 2" xfId="5" xr:uid="{4ED2B153-D539-441C-BB03-9A829C78720A}"/>
    <cellStyle name="Normal" xfId="0" builtinId="0"/>
    <cellStyle name="Normal 2 2" xfId="4" xr:uid="{62256E53-C75C-4616-8BC9-C8FE44EB38A4}"/>
    <cellStyle name="Percent" xfId="1" builtinId="5"/>
  </cellStyles>
  <dxfs count="0"/>
  <tableStyles count="0" defaultTableStyle="TableStyleMedium2" defaultPivotStyle="PivotStyleLight16"/>
  <colors>
    <mruColors>
      <color rgb="FF1E8496"/>
      <color rgb="FF0000FF"/>
      <color rgb="FF132E57"/>
      <color rgb="FFED942D"/>
      <color rgb="FFED93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'Dashboard 1'!$D$61</c:f>
              <c:strCache>
                <c:ptCount val="1"/>
                <c:pt idx="0">
                  <c:v>Range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D78-694C-8346-A574EE648C05}"/>
              </c:ext>
            </c:extLst>
          </c:dPt>
          <c:dPt>
            <c:idx val="1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E0A-F043-A838-AC4F342EF90D}"/>
              </c:ext>
            </c:extLst>
          </c:dPt>
          <c:dPt>
            <c:idx val="2"/>
            <c:bubble3D val="0"/>
            <c:spPr>
              <a:solidFill>
                <a:srgbClr val="1E849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E0A-F043-A838-AC4F342EF90D}"/>
              </c:ext>
            </c:extLst>
          </c:dPt>
          <c:dPt>
            <c:idx val="3"/>
            <c:bubble3D val="0"/>
            <c:spPr>
              <a:solidFill>
                <a:srgbClr val="00206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CE0A-F043-A838-AC4F342EF90D}"/>
              </c:ext>
            </c:extLst>
          </c:dPt>
          <c:dPt>
            <c:idx val="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E0A-F043-A838-AC4F342EF90D}"/>
              </c:ext>
            </c:extLst>
          </c:dPt>
          <c:cat>
            <c:strRef>
              <c:f>'Dashboard 1'!$D$69:$D$71</c:f>
              <c:strCache>
                <c:ptCount val="3"/>
                <c:pt idx="0">
                  <c:v>Start</c:v>
                </c:pt>
                <c:pt idx="1">
                  <c:v>75%</c:v>
                </c:pt>
                <c:pt idx="2">
                  <c:v>End</c:v>
                </c:pt>
              </c:strCache>
            </c:strRef>
          </c:cat>
          <c:val>
            <c:numRef>
              <c:f>'Dashboard 1'!$E$62:$E$66</c:f>
              <c:numCache>
                <c:formatCode>General</c:formatCode>
                <c:ptCount val="5"/>
                <c:pt idx="0">
                  <c:v>0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0.89999999999999991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0A-F043-A838-AC4F342EF9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60"/>
      </c:doughnutChart>
      <c:pieChart>
        <c:varyColors val="1"/>
        <c:ser>
          <c:idx val="1"/>
          <c:order val="1"/>
          <c:tx>
            <c:strRef>
              <c:f>'Dashboard 1'!$D$68</c:f>
              <c:strCache>
                <c:ptCount val="1"/>
                <c:pt idx="0">
                  <c:v>Performance</c:v>
                </c:pt>
              </c:strCache>
            </c:strRef>
          </c:tx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CE0A-F043-A838-AC4F342EF9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CE0A-F043-A838-AC4F342EF90D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CE0A-F043-A838-AC4F342EF90D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0.17777777777777778"/>
                      <c:h val="0.4409722222222222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CE0A-F043-A838-AC4F342EF90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4BCB7CA-3250-A74F-9D4E-B1F0FCE5D1C4}" type="CATEGORYNAME">
                      <a:rPr lang="en-US"/>
                      <a:pPr/>
                      <a:t>[CATEGORY NAME]</a:t>
                    </a:fld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D-CE0A-F043-A838-AC4F342EF90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E0A-F043-A838-AC4F342EF9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'Dashboard 1'!$D$69:$D$71</c:f>
              <c:strCache>
                <c:ptCount val="3"/>
                <c:pt idx="0">
                  <c:v>Start</c:v>
                </c:pt>
                <c:pt idx="1">
                  <c:v>75%</c:v>
                </c:pt>
                <c:pt idx="2">
                  <c:v>End</c:v>
                </c:pt>
              </c:strCache>
            </c:strRef>
          </c:cat>
          <c:val>
            <c:numRef>
              <c:f>'Dashboard 1'!$E$69:$E$71</c:f>
              <c:numCache>
                <c:formatCode>General</c:formatCode>
                <c:ptCount val="3"/>
                <c:pt idx="0" formatCode="0">
                  <c:v>132</c:v>
                </c:pt>
                <c:pt idx="1">
                  <c:v>4</c:v>
                </c:pt>
                <c:pt idx="2" formatCode="0">
                  <c:v>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E0A-F043-A838-AC4F342EF9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5">
                  <a:lumMod val="5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'Dashboard 1'!$D$45:$O$45</c:f>
              <c:strCache>
                <c:ptCount val="12"/>
                <c:pt idx="0">
                  <c:v>Jan 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'Dashboard 1'!$D$53:$O$53</c:f>
              <c:numCache>
                <c:formatCode>0.0%</c:formatCode>
                <c:ptCount val="12"/>
                <c:pt idx="0">
                  <c:v>0.3</c:v>
                </c:pt>
                <c:pt idx="1">
                  <c:v>0.32</c:v>
                </c:pt>
                <c:pt idx="2">
                  <c:v>0.24</c:v>
                </c:pt>
                <c:pt idx="3">
                  <c:v>0.22</c:v>
                </c:pt>
                <c:pt idx="4">
                  <c:v>0.23</c:v>
                </c:pt>
                <c:pt idx="5">
                  <c:v>0.24000000000000002</c:v>
                </c:pt>
                <c:pt idx="6">
                  <c:v>0.25</c:v>
                </c:pt>
                <c:pt idx="7">
                  <c:v>0.27</c:v>
                </c:pt>
                <c:pt idx="8">
                  <c:v>0.28000000000000003</c:v>
                </c:pt>
                <c:pt idx="9">
                  <c:v>0.26</c:v>
                </c:pt>
                <c:pt idx="10">
                  <c:v>0.24</c:v>
                </c:pt>
                <c:pt idx="11">
                  <c:v>0.22999999999999998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AB-8D47-96DF-6DD7F148EAF7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'Dashboard 1'!$D$45:$O$45</c:f>
              <c:strCache>
                <c:ptCount val="12"/>
                <c:pt idx="0">
                  <c:v>Jan 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'Dashboard 1'!$D$54:$O$54</c:f>
              <c:numCache>
                <c:formatCode>0.0%</c:formatCode>
                <c:ptCount val="12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AB-8D47-96DF-6DD7F148EA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2023311"/>
        <c:axId val="1462025023"/>
      </c:lineChart>
      <c:catAx>
        <c:axId val="1462023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025023"/>
        <c:crosses val="autoZero"/>
        <c:auto val="1"/>
        <c:lblAlgn val="ctr"/>
        <c:lblOffset val="100"/>
        <c:noMultiLvlLbl val="0"/>
      </c:catAx>
      <c:valAx>
        <c:axId val="1462025023"/>
        <c:scaling>
          <c:orientation val="minMax"/>
          <c:max val="0.34"/>
          <c:min val="0.2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023311"/>
        <c:crosses val="autoZero"/>
        <c:crossBetween val="midCat"/>
        <c:majorUnit val="0.2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0"/>
          <c:order val="0"/>
          <c:spPr>
            <a:solidFill>
              <a:srgbClr val="002060"/>
            </a:solidFill>
            <a:ln>
              <a:noFill/>
            </a:ln>
            <a:effectLst/>
          </c:spPr>
          <c:cat>
            <c:strRef>
              <c:f>'Dashboard 1'!$D$45:$O$45</c:f>
              <c:strCache>
                <c:ptCount val="12"/>
                <c:pt idx="0">
                  <c:v>Jan 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'Dashboard 1'!$D$50:$O$50</c:f>
              <c:numCache>
                <c:formatCode>#,##0_);\(#,##0\)</c:formatCode>
                <c:ptCount val="12"/>
                <c:pt idx="0">
                  <c:v>8750.0000000000018</c:v>
                </c:pt>
                <c:pt idx="1">
                  <c:v>10400</c:v>
                </c:pt>
                <c:pt idx="2">
                  <c:v>9250</c:v>
                </c:pt>
                <c:pt idx="3">
                  <c:v>12580</c:v>
                </c:pt>
                <c:pt idx="4">
                  <c:v>11322</c:v>
                </c:pt>
                <c:pt idx="5">
                  <c:v>13926.06</c:v>
                </c:pt>
                <c:pt idx="6">
                  <c:v>16293.490199999998</c:v>
                </c:pt>
                <c:pt idx="7">
                  <c:v>14175.336473999998</c:v>
                </c:pt>
                <c:pt idx="8">
                  <c:v>15876.376850879999</c:v>
                </c:pt>
                <c:pt idx="9">
                  <c:v>13653.684091756799</c:v>
                </c:pt>
                <c:pt idx="10">
                  <c:v>16292.126182767601</c:v>
                </c:pt>
                <c:pt idx="11">
                  <c:v>17209.653753733699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48-2C43-9D72-489C74A557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661392"/>
        <c:axId val="1099387375"/>
      </c:area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'Dashboard 1'!$D$45:$O$45</c:f>
              <c:strCache>
                <c:ptCount val="12"/>
                <c:pt idx="0">
                  <c:v>Jan 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'Dashboard 1'!$D$51:$O$51</c:f>
              <c:numCache>
                <c:formatCode>#,##0_);\(#,##0\)</c:formatCode>
                <c:ptCount val="12"/>
                <c:pt idx="0">
                  <c:v>8000</c:v>
                </c:pt>
                <c:pt idx="1">
                  <c:v>9000</c:v>
                </c:pt>
                <c:pt idx="2">
                  <c:v>9700</c:v>
                </c:pt>
                <c:pt idx="3">
                  <c:v>10000</c:v>
                </c:pt>
                <c:pt idx="4">
                  <c:v>9057.6</c:v>
                </c:pt>
                <c:pt idx="5">
                  <c:v>11140.848</c:v>
                </c:pt>
                <c:pt idx="6">
                  <c:v>13034.792159999999</c:v>
                </c:pt>
                <c:pt idx="7">
                  <c:v>11340.269179199999</c:v>
                </c:pt>
                <c:pt idx="8">
                  <c:v>12701.101480703999</c:v>
                </c:pt>
                <c:pt idx="9">
                  <c:v>10922.94727340544</c:v>
                </c:pt>
                <c:pt idx="10">
                  <c:v>12233.700946214092</c:v>
                </c:pt>
                <c:pt idx="11">
                  <c:v>12967.723002986939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48-2C43-9D72-489C74A557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661392"/>
        <c:axId val="1099387375"/>
      </c:lineChart>
      <c:catAx>
        <c:axId val="139661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387375"/>
        <c:crosses val="autoZero"/>
        <c:auto val="1"/>
        <c:lblAlgn val="ctr"/>
        <c:lblOffset val="100"/>
        <c:noMultiLvlLbl val="0"/>
      </c:catAx>
      <c:valAx>
        <c:axId val="1099387375"/>
        <c:scaling>
          <c:orientation val="minMax"/>
        </c:scaling>
        <c:delete val="0"/>
        <c:axPos val="l"/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61392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strRef>
              <c:f>'Dashboard 1'!$D$45:$O$45</c:f>
              <c:strCache>
                <c:ptCount val="12"/>
                <c:pt idx="0">
                  <c:v>Jan 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'Dashboard 1'!$D$47:$O$47</c:f>
              <c:numCache>
                <c:formatCode>#,##0_);\(#,##0\)</c:formatCode>
                <c:ptCount val="12"/>
                <c:pt idx="0">
                  <c:v>5000</c:v>
                </c:pt>
                <c:pt idx="1">
                  <c:v>6500</c:v>
                </c:pt>
                <c:pt idx="2">
                  <c:v>5000</c:v>
                </c:pt>
                <c:pt idx="3">
                  <c:v>6800</c:v>
                </c:pt>
                <c:pt idx="4">
                  <c:v>6868</c:v>
                </c:pt>
                <c:pt idx="5">
                  <c:v>7829.52</c:v>
                </c:pt>
                <c:pt idx="6">
                  <c:v>9708.604800000001</c:v>
                </c:pt>
                <c:pt idx="7">
                  <c:v>10485.293184000002</c:v>
                </c:pt>
                <c:pt idx="8">
                  <c:v>13106.616480000002</c:v>
                </c:pt>
                <c:pt idx="9">
                  <c:v>11009.557843200002</c:v>
                </c:pt>
                <c:pt idx="10">
                  <c:v>10879.271107904</c:v>
                </c:pt>
                <c:pt idx="11">
                  <c:v>12931.722130350699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EE-3C48-BD49-E8E72E65F0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143760927"/>
        <c:axId val="1375084063"/>
      </c:barChart>
      <c:lineChart>
        <c:grouping val="stacke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chemeClr val="accent2">
                  <a:lumMod val="75000"/>
                </a:schemeClr>
              </a:solidFill>
              <a:ln w="9525">
                <a:noFill/>
              </a:ln>
              <a:effectLst/>
            </c:spPr>
          </c:marker>
          <c:cat>
            <c:strRef>
              <c:f>'Dashboard 1'!$D$45:$O$45</c:f>
              <c:strCache>
                <c:ptCount val="12"/>
                <c:pt idx="0">
                  <c:v>Jan 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'Dashboard 1'!$D$48:$O$48</c:f>
              <c:numCache>
                <c:formatCode>#,##0_);\(#,##0\)</c:formatCode>
                <c:ptCount val="12"/>
                <c:pt idx="0">
                  <c:v>4500</c:v>
                </c:pt>
                <c:pt idx="1">
                  <c:v>6000</c:v>
                </c:pt>
                <c:pt idx="2">
                  <c:v>6000</c:v>
                </c:pt>
                <c:pt idx="3">
                  <c:v>6500</c:v>
                </c:pt>
                <c:pt idx="4">
                  <c:v>5837.8</c:v>
                </c:pt>
                <c:pt idx="5">
                  <c:v>6655.0920000000006</c:v>
                </c:pt>
                <c:pt idx="6">
                  <c:v>8252.3140800000001</c:v>
                </c:pt>
                <c:pt idx="7">
                  <c:v>8912.4992064000016</c:v>
                </c:pt>
                <c:pt idx="8">
                  <c:v>11140.624008000003</c:v>
                </c:pt>
                <c:pt idx="9">
                  <c:v>9358.1241667200011</c:v>
                </c:pt>
                <c:pt idx="10">
                  <c:v>9077.3804417184019</c:v>
                </c:pt>
                <c:pt idx="11">
                  <c:v>8441.9638107981136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EE-3C48-BD49-E8E72E65F0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3760927"/>
        <c:axId val="1375084063"/>
      </c:lineChart>
      <c:catAx>
        <c:axId val="1143760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084063"/>
        <c:crosses val="autoZero"/>
        <c:auto val="1"/>
        <c:lblAlgn val="ctr"/>
        <c:lblOffset val="100"/>
        <c:noMultiLvlLbl val="0"/>
      </c:catAx>
      <c:valAx>
        <c:axId val="1375084063"/>
        <c:scaling>
          <c:orientation val="minMax"/>
          <c:max val="14000"/>
          <c:min val="0"/>
        </c:scaling>
        <c:delete val="0"/>
        <c:axPos val="l"/>
        <c:numFmt formatCode="#,##0_);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760927"/>
        <c:crosses val="autoZero"/>
        <c:crossBetween val="between"/>
        <c:majorUnit val="20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805555555555555"/>
          <c:y val="0.14583333333333334"/>
          <c:w val="0.46388888888888891"/>
          <c:h val="0.77314814814814814"/>
        </c:manualLayout>
      </c:layout>
      <c:doughnutChart>
        <c:varyColors val="1"/>
        <c:ser>
          <c:idx val="0"/>
          <c:order val="0"/>
          <c:tx>
            <c:strRef>
              <c:f>'Dashboard 1'!$D$61</c:f>
              <c:strCache>
                <c:ptCount val="1"/>
                <c:pt idx="0">
                  <c:v>Range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74F-FD40-9C01-5F9BE5CBD1EC}"/>
              </c:ext>
            </c:extLst>
          </c:dPt>
          <c:dPt>
            <c:idx val="1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74F-FD40-9C01-5F9BE5CBD1EC}"/>
              </c:ext>
            </c:extLst>
          </c:dPt>
          <c:dPt>
            <c:idx val="2"/>
            <c:bubble3D val="0"/>
            <c:spPr>
              <a:solidFill>
                <a:srgbClr val="1E849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74F-FD40-9C01-5F9BE5CBD1EC}"/>
              </c:ext>
            </c:extLst>
          </c:dPt>
          <c:dPt>
            <c:idx val="3"/>
            <c:bubble3D val="0"/>
            <c:spPr>
              <a:solidFill>
                <a:srgbClr val="00206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74F-FD40-9C01-5F9BE5CBD1EC}"/>
              </c:ext>
            </c:extLst>
          </c:dPt>
          <c:dPt>
            <c:idx val="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574F-FD40-9C01-5F9BE5CBD1EC}"/>
              </c:ext>
            </c:extLst>
          </c:dPt>
          <c:cat>
            <c:strRef>
              <c:f>'Dashboard 1'!$D$69:$D$71</c:f>
              <c:strCache>
                <c:ptCount val="3"/>
                <c:pt idx="0">
                  <c:v>Start</c:v>
                </c:pt>
                <c:pt idx="1">
                  <c:v>75%</c:v>
                </c:pt>
                <c:pt idx="2">
                  <c:v>End</c:v>
                </c:pt>
              </c:strCache>
            </c:strRef>
          </c:cat>
          <c:val>
            <c:numRef>
              <c:f>'Dashboard 1'!$E$62:$E$66</c:f>
              <c:numCache>
                <c:formatCode>General</c:formatCode>
                <c:ptCount val="5"/>
                <c:pt idx="0">
                  <c:v>0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0.89999999999999991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74F-FD40-9C01-5F9BE5CBD1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60"/>
      </c:doughnutChart>
      <c:pieChart>
        <c:varyColors val="1"/>
        <c:ser>
          <c:idx val="1"/>
          <c:order val="1"/>
          <c:tx>
            <c:strRef>
              <c:f>'Dashboard 1'!$D$68</c:f>
              <c:strCache>
                <c:ptCount val="1"/>
                <c:pt idx="0">
                  <c:v>Performance</c:v>
                </c:pt>
              </c:strCache>
            </c:strRef>
          </c:tx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574F-FD40-9C01-5F9BE5CBD1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574F-FD40-9C01-5F9BE5CBD1EC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574F-FD40-9C01-5F9BE5CBD1EC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0.17777777777777778"/>
                      <c:h val="0.4409722222222222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574F-FD40-9C01-5F9BE5CBD1E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4BCB7CA-3250-A74F-9D4E-B1F0FCE5D1C4}" type="CATEGORYNAME">
                      <a:rPr lang="en-US"/>
                      <a:pPr/>
                      <a:t>[CATEGORY NAME]</a:t>
                    </a:fld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E-574F-FD40-9C01-5F9BE5CBD1E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574F-FD40-9C01-5F9BE5CBD1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'Dashboard 1'!$D$69:$D$71</c:f>
              <c:strCache>
                <c:ptCount val="3"/>
                <c:pt idx="0">
                  <c:v>Start</c:v>
                </c:pt>
                <c:pt idx="1">
                  <c:v>75%</c:v>
                </c:pt>
                <c:pt idx="2">
                  <c:v>End</c:v>
                </c:pt>
              </c:strCache>
            </c:strRef>
          </c:cat>
          <c:val>
            <c:numRef>
              <c:f>'Dashboard 1'!$E$69:$E$71</c:f>
              <c:numCache>
                <c:formatCode>General</c:formatCode>
                <c:ptCount val="3"/>
                <c:pt idx="0" formatCode="0">
                  <c:v>132</c:v>
                </c:pt>
                <c:pt idx="1">
                  <c:v>4</c:v>
                </c:pt>
                <c:pt idx="2" formatCode="0">
                  <c:v>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574F-FD40-9C01-5F9BE5CBD1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9825775273540311"/>
          <c:y val="0.14995240566803406"/>
          <c:w val="0.5083333333333333"/>
          <c:h val="0.84722222222222221"/>
        </c:manualLayout>
      </c:layout>
      <c:doughnutChart>
        <c:varyColors val="1"/>
        <c:ser>
          <c:idx val="0"/>
          <c:order val="0"/>
          <c:tx>
            <c:strRef>
              <c:f>'Dashboard 1'!$D$61</c:f>
              <c:strCache>
                <c:ptCount val="1"/>
                <c:pt idx="0">
                  <c:v>Range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9FB-A647-80AD-189A15B517DD}"/>
              </c:ext>
            </c:extLst>
          </c:dPt>
          <c:dPt>
            <c:idx val="1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9FB-A647-80AD-189A15B517DD}"/>
              </c:ext>
            </c:extLst>
          </c:dPt>
          <c:dPt>
            <c:idx val="2"/>
            <c:bubble3D val="0"/>
            <c:spPr>
              <a:solidFill>
                <a:srgbClr val="1E849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9FB-A647-80AD-189A15B517DD}"/>
              </c:ext>
            </c:extLst>
          </c:dPt>
          <c:dPt>
            <c:idx val="3"/>
            <c:bubble3D val="0"/>
            <c:spPr>
              <a:solidFill>
                <a:srgbClr val="00206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9FB-A647-80AD-189A15B517DD}"/>
              </c:ext>
            </c:extLst>
          </c:dPt>
          <c:dPt>
            <c:idx val="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49FB-A647-80AD-189A15B517DD}"/>
              </c:ext>
            </c:extLst>
          </c:dPt>
          <c:cat>
            <c:strRef>
              <c:f>'Dashboard 1'!$D$69:$D$71</c:f>
              <c:strCache>
                <c:ptCount val="3"/>
                <c:pt idx="0">
                  <c:v>Start</c:v>
                </c:pt>
                <c:pt idx="1">
                  <c:v>75%</c:v>
                </c:pt>
                <c:pt idx="2">
                  <c:v>End</c:v>
                </c:pt>
              </c:strCache>
            </c:strRef>
          </c:cat>
          <c:val>
            <c:numRef>
              <c:f>'Dashboard 1'!$E$62:$E$66</c:f>
              <c:numCache>
                <c:formatCode>General</c:formatCode>
                <c:ptCount val="5"/>
                <c:pt idx="0">
                  <c:v>0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0.89999999999999991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9FB-A647-80AD-189A15B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60"/>
      </c:doughnutChart>
      <c:pieChart>
        <c:varyColors val="1"/>
        <c:ser>
          <c:idx val="1"/>
          <c:order val="1"/>
          <c:tx>
            <c:strRef>
              <c:f>'Dashboard 1'!$D$68</c:f>
              <c:strCache>
                <c:ptCount val="1"/>
                <c:pt idx="0">
                  <c:v>Performance</c:v>
                </c:pt>
              </c:strCache>
            </c:strRef>
          </c:tx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49FB-A647-80AD-189A15B517D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49FB-A647-80AD-189A15B517DD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49FB-A647-80AD-189A15B517DD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0.17777777777777778"/>
                      <c:h val="0.4409722222222222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49FB-A647-80AD-189A15B517D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4BCB7CA-3250-A74F-9D4E-B1F0FCE5D1C4}" type="CATEGORYNAME">
                      <a:rPr lang="en-US"/>
                      <a:pPr/>
                      <a:t>[CATEGORY NAME]</a:t>
                    </a:fld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E-49FB-A647-80AD-189A15B517D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49FB-A647-80AD-189A15B51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'Dashboard 1'!$D$69:$D$71</c:f>
              <c:strCache>
                <c:ptCount val="3"/>
                <c:pt idx="0">
                  <c:v>Start</c:v>
                </c:pt>
                <c:pt idx="1">
                  <c:v>75%</c:v>
                </c:pt>
                <c:pt idx="2">
                  <c:v>End</c:v>
                </c:pt>
              </c:strCache>
            </c:strRef>
          </c:cat>
          <c:val>
            <c:numRef>
              <c:f>'Dashboard 1'!$E$69:$E$71</c:f>
              <c:numCache>
                <c:formatCode>General</c:formatCode>
                <c:ptCount val="3"/>
                <c:pt idx="0" formatCode="0">
                  <c:v>132</c:v>
                </c:pt>
                <c:pt idx="1">
                  <c:v>4</c:v>
                </c:pt>
                <c:pt idx="2" formatCode="0">
                  <c:v>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49FB-A647-80AD-189A15B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'Dashboard 1'!$G$61</c:f>
              <c:strCache>
                <c:ptCount val="1"/>
                <c:pt idx="0">
                  <c:v>Range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D3B-FF43-B542-EB27439C256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D3B-FF43-B542-EB27439C256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D3B-FF43-B542-EB27439C256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D3B-FF43-B542-EB27439C256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D3B-FF43-B542-EB27439C2562}"/>
              </c:ext>
            </c:extLst>
          </c:dPt>
          <c:cat>
            <c:strRef>
              <c:f>'Dashboard 1'!$G$69:$G$71</c:f>
              <c:strCache>
                <c:ptCount val="3"/>
                <c:pt idx="0">
                  <c:v>Start</c:v>
                </c:pt>
                <c:pt idx="1">
                  <c:v>40%</c:v>
                </c:pt>
                <c:pt idx="2">
                  <c:v>End</c:v>
                </c:pt>
              </c:strCache>
            </c:strRef>
          </c:cat>
          <c:val>
            <c:numRef>
              <c:f>'Dashboard 1'!$H$62:$H$66</c:f>
              <c:numCache>
                <c:formatCode>General</c:formatCode>
                <c:ptCount val="5"/>
                <c:pt idx="0">
                  <c:v>0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0.89999999999999991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D3B-FF43-B542-EB27439C25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60"/>
      </c:doughnutChart>
      <c:pieChart>
        <c:varyColors val="1"/>
        <c:ser>
          <c:idx val="1"/>
          <c:order val="1"/>
          <c:tx>
            <c:strRef>
              <c:f>'Dashboard 1'!$G$68</c:f>
              <c:strCache>
                <c:ptCount val="1"/>
                <c:pt idx="0">
                  <c:v>Performance</c:v>
                </c:pt>
              </c:strCache>
            </c:strRef>
          </c:tx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D3B-FF43-B542-EB27439C256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AD3B-FF43-B542-EB27439C2562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AD3B-FF43-B542-EB27439C2562}"/>
              </c:ext>
            </c:extLst>
          </c:dPt>
          <c:cat>
            <c:strRef>
              <c:f>'Dashboard 1'!$G$69:$G$71</c:f>
              <c:strCache>
                <c:ptCount val="3"/>
                <c:pt idx="0">
                  <c:v>Start</c:v>
                </c:pt>
                <c:pt idx="1">
                  <c:v>40%</c:v>
                </c:pt>
                <c:pt idx="2">
                  <c:v>End</c:v>
                </c:pt>
              </c:strCache>
            </c:strRef>
          </c:cat>
          <c:val>
            <c:numRef>
              <c:f>'Dashboard 1'!$H$69:$H$71</c:f>
              <c:numCache>
                <c:formatCode>General</c:formatCode>
                <c:ptCount val="3"/>
                <c:pt idx="0" formatCode="0">
                  <c:v>70.400000000000006</c:v>
                </c:pt>
                <c:pt idx="1">
                  <c:v>4</c:v>
                </c:pt>
                <c:pt idx="2" formatCode="0">
                  <c:v>285.60000000000002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AD3B-FF43-B542-EB27439C25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303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orporatefinanceinstitute.com/" TargetMode="Externa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3" Type="http://schemas.openxmlformats.org/officeDocument/2006/relationships/image" Target="../media/image2.jpeg"/><Relationship Id="rId7" Type="http://schemas.openxmlformats.org/officeDocument/2006/relationships/chart" Target="../charts/chart5.xml"/><Relationship Id="rId2" Type="http://schemas.openxmlformats.org/officeDocument/2006/relationships/hyperlink" Target="https://www.corporatefinanceinstitute.com/" TargetMode="External"/><Relationship Id="rId1" Type="http://schemas.openxmlformats.org/officeDocument/2006/relationships/chart" Target="../charts/chart1.xml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Relationship Id="rId9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714374</xdr:colOff>
      <xdr:row>3</xdr:row>
      <xdr:rowOff>19050</xdr:rowOff>
    </xdr:from>
    <xdr:ext cx="3446303" cy="1540510"/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55E613D-A6C9-49B4-B814-7D248E9220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1294" y="745490"/>
          <a:ext cx="3446303" cy="154051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100250</xdr:rowOff>
    </xdr:from>
    <xdr:to>
      <xdr:col>8</xdr:col>
      <xdr:colOff>155098</xdr:colOff>
      <xdr:row>17</xdr:row>
      <xdr:rowOff>123627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5C0074BB-1989-84E8-6B3B-745176F77C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480060</xdr:colOff>
      <xdr:row>0</xdr:row>
      <xdr:rowOff>0</xdr:rowOff>
    </xdr:from>
    <xdr:to>
      <xdr:col>14</xdr:col>
      <xdr:colOff>577978</xdr:colOff>
      <xdr:row>1</xdr:row>
      <xdr:rowOff>237704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4A03325-883A-4773-A7F1-DA29972C37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04860" y="0"/>
          <a:ext cx="829438" cy="390104"/>
        </a:xfrm>
        <a:prstGeom prst="rect">
          <a:avLst/>
        </a:prstGeom>
      </xdr:spPr>
    </xdr:pic>
    <xdr:clientData/>
  </xdr:twoCellAnchor>
  <xdr:twoCellAnchor>
    <xdr:from>
      <xdr:col>2</xdr:col>
      <xdr:colOff>255261</xdr:colOff>
      <xdr:row>6</xdr:row>
      <xdr:rowOff>111828</xdr:rowOff>
    </xdr:from>
    <xdr:to>
      <xdr:col>3</xdr:col>
      <xdr:colOff>303521</xdr:colOff>
      <xdr:row>8</xdr:row>
      <xdr:rowOff>188028</xdr:rowOff>
    </xdr:to>
    <xdr:sp macro="" textlink="">
      <xdr:nvSpPr>
        <xdr:cNvPr id="2" name="Triangle 1">
          <a:extLst>
            <a:ext uri="{FF2B5EF4-FFF2-40B4-BE49-F238E27FC236}">
              <a16:creationId xmlns:a16="http://schemas.microsoft.com/office/drawing/2014/main" id="{04F54CEE-BF0D-1F60-2580-951C21E91436}"/>
            </a:ext>
          </a:extLst>
        </xdr:cNvPr>
        <xdr:cNvSpPr/>
      </xdr:nvSpPr>
      <xdr:spPr>
        <a:xfrm rot="5400000" flipH="1">
          <a:off x="793741" y="1364048"/>
          <a:ext cx="457200" cy="365760"/>
        </a:xfrm>
        <a:prstGeom prst="triangle">
          <a:avLst>
            <a:gd name="adj" fmla="val 48398"/>
          </a:avLst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91440" rtlCol="0" anchor="ctr" anchorCtr="0"/>
        <a:lstStyle/>
        <a:p>
          <a:pPr algn="l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2</xdr:col>
      <xdr:colOff>261984</xdr:colOff>
      <xdr:row>14</xdr:row>
      <xdr:rowOff>119811</xdr:rowOff>
    </xdr:from>
    <xdr:to>
      <xdr:col>3</xdr:col>
      <xdr:colOff>310244</xdr:colOff>
      <xdr:row>17</xdr:row>
      <xdr:rowOff>5511</xdr:rowOff>
    </xdr:to>
    <xdr:sp macro="" textlink="">
      <xdr:nvSpPr>
        <xdr:cNvPr id="4" name="Triangle 3">
          <a:extLst>
            <a:ext uri="{FF2B5EF4-FFF2-40B4-BE49-F238E27FC236}">
              <a16:creationId xmlns:a16="http://schemas.microsoft.com/office/drawing/2014/main" id="{9A9A9D7A-FD4B-7F44-BB2E-1A537C562ABE}"/>
            </a:ext>
          </a:extLst>
        </xdr:cNvPr>
        <xdr:cNvSpPr/>
      </xdr:nvSpPr>
      <xdr:spPr>
        <a:xfrm rot="5400000" flipH="1">
          <a:off x="800464" y="2934131"/>
          <a:ext cx="457200" cy="365760"/>
        </a:xfrm>
        <a:prstGeom prst="triangle">
          <a:avLst>
            <a:gd name="adj" fmla="val 48398"/>
          </a:avLst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91440" rtlCol="0" anchor="ctr" anchorCtr="0"/>
        <a:lstStyle/>
        <a:p>
          <a:pPr algn="l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3</xdr:col>
      <xdr:colOff>0</xdr:colOff>
      <xdr:row>22</xdr:row>
      <xdr:rowOff>114300</xdr:rowOff>
    </xdr:from>
    <xdr:to>
      <xdr:col>3</xdr:col>
      <xdr:colOff>365760</xdr:colOff>
      <xdr:row>25</xdr:row>
      <xdr:rowOff>0</xdr:rowOff>
    </xdr:to>
    <xdr:sp macro="" textlink="">
      <xdr:nvSpPr>
        <xdr:cNvPr id="5" name="Triangle 4">
          <a:extLst>
            <a:ext uri="{FF2B5EF4-FFF2-40B4-BE49-F238E27FC236}">
              <a16:creationId xmlns:a16="http://schemas.microsoft.com/office/drawing/2014/main" id="{7F387AA3-A283-1049-8247-49985C245AD2}"/>
            </a:ext>
          </a:extLst>
        </xdr:cNvPr>
        <xdr:cNvSpPr/>
      </xdr:nvSpPr>
      <xdr:spPr>
        <a:xfrm rot="5400000" flipH="1">
          <a:off x="855980" y="4465320"/>
          <a:ext cx="457200" cy="365760"/>
        </a:xfrm>
        <a:prstGeom prst="triangle">
          <a:avLst>
            <a:gd name="adj" fmla="val 48398"/>
          </a:avLst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91440" rtlCol="0" anchor="ctr" anchorCtr="0"/>
        <a:lstStyle/>
        <a:p>
          <a:pPr algn="l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3</xdr:col>
      <xdr:colOff>0</xdr:colOff>
      <xdr:row>30</xdr:row>
      <xdr:rowOff>127000</xdr:rowOff>
    </xdr:from>
    <xdr:to>
      <xdr:col>3</xdr:col>
      <xdr:colOff>365760</xdr:colOff>
      <xdr:row>33</xdr:row>
      <xdr:rowOff>0</xdr:rowOff>
    </xdr:to>
    <xdr:sp macro="" textlink="">
      <xdr:nvSpPr>
        <xdr:cNvPr id="6" name="Triangle 5">
          <a:extLst>
            <a:ext uri="{FF2B5EF4-FFF2-40B4-BE49-F238E27FC236}">
              <a16:creationId xmlns:a16="http://schemas.microsoft.com/office/drawing/2014/main" id="{75A6B0C8-DF45-7349-88A2-C4EC29C8FD54}"/>
            </a:ext>
          </a:extLst>
        </xdr:cNvPr>
        <xdr:cNvSpPr/>
      </xdr:nvSpPr>
      <xdr:spPr>
        <a:xfrm rot="5400000" flipH="1">
          <a:off x="848815" y="6149210"/>
          <a:ext cx="470009" cy="365760"/>
        </a:xfrm>
        <a:prstGeom prst="triangle">
          <a:avLst>
            <a:gd name="adj" fmla="val 48398"/>
          </a:avLst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91440" rtlCol="0" anchor="ctr" anchorCtr="0"/>
        <a:lstStyle/>
        <a:p>
          <a:pPr algn="l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3</xdr:col>
      <xdr:colOff>824957</xdr:colOff>
      <xdr:row>28</xdr:row>
      <xdr:rowOff>0</xdr:rowOff>
    </xdr:from>
    <xdr:to>
      <xdr:col>15</xdr:col>
      <xdr:colOff>0</xdr:colOff>
      <xdr:row>35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DB0E773-6643-D9D9-DAC2-1F6C5FD573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30</xdr:row>
      <xdr:rowOff>141111</xdr:rowOff>
    </xdr:from>
    <xdr:to>
      <xdr:col>6</xdr:col>
      <xdr:colOff>0</xdr:colOff>
      <xdr:row>31</xdr:row>
      <xdr:rowOff>130255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34B584B-3EE7-38DF-3646-BB54DBD57F81}"/>
            </a:ext>
          </a:extLst>
        </xdr:cNvPr>
        <xdr:cNvSpPr txBox="1"/>
      </xdr:nvSpPr>
      <xdr:spPr>
        <a:xfrm>
          <a:off x="2550855" y="6111196"/>
          <a:ext cx="824957" cy="1953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accent2">
                  <a:lumMod val="75000"/>
                </a:schemeClr>
              </a:solidFill>
            </a:rPr>
            <a:t>Target</a:t>
          </a:r>
        </a:p>
        <a:p>
          <a:endParaRPr lang="en-US" sz="1100"/>
        </a:p>
      </xdr:txBody>
    </xdr:sp>
    <xdr:clientData/>
  </xdr:twoCellAnchor>
  <xdr:twoCellAnchor>
    <xdr:from>
      <xdr:col>4</xdr:col>
      <xdr:colOff>0</xdr:colOff>
      <xdr:row>20</xdr:row>
      <xdr:rowOff>0</xdr:rowOff>
    </xdr:from>
    <xdr:to>
      <xdr:col>15</xdr:col>
      <xdr:colOff>0</xdr:colOff>
      <xdr:row>27</xdr:row>
      <xdr:rowOff>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7EAC7B8-D39C-1D2C-6698-10B94A868D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13</xdr:col>
      <xdr:colOff>476250</xdr:colOff>
      <xdr:row>22</xdr:row>
      <xdr:rowOff>105986</xdr:rowOff>
    </xdr:from>
    <xdr:ext cx="696736" cy="264431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326794E-432C-2A25-5F5F-D7C32E76DDFD}"/>
            </a:ext>
          </a:extLst>
        </xdr:cNvPr>
        <xdr:cNvSpPr txBox="1"/>
      </xdr:nvSpPr>
      <xdr:spPr>
        <a:xfrm>
          <a:off x="9666111" y="4453972"/>
          <a:ext cx="696736" cy="2644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>
              <a:ln w="3175">
                <a:solidFill>
                  <a:schemeClr val="accent2"/>
                </a:solidFill>
              </a:ln>
              <a:solidFill>
                <a:schemeClr val="accent2">
                  <a:lumMod val="75000"/>
                </a:schemeClr>
              </a:solidFill>
            </a:rPr>
            <a:t>Target</a:t>
          </a:r>
        </a:p>
      </xdr:txBody>
    </xdr:sp>
    <xdr:clientData/>
  </xdr:oneCellAnchor>
  <xdr:twoCellAnchor>
    <xdr:from>
      <xdr:col>4</xdr:col>
      <xdr:colOff>0</xdr:colOff>
      <xdr:row>12</xdr:row>
      <xdr:rowOff>0</xdr:rowOff>
    </xdr:from>
    <xdr:to>
      <xdr:col>14</xdr:col>
      <xdr:colOff>696735</xdr:colOff>
      <xdr:row>19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55C3C2D-00A2-1CFA-3430-F5DF2529DD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6</xdr:col>
      <xdr:colOff>132291</xdr:colOff>
      <xdr:row>14</xdr:row>
      <xdr:rowOff>1</xdr:rowOff>
    </xdr:from>
    <xdr:ext cx="696736" cy="194028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D719829-16BD-D144-9B44-89BBC487D41D}"/>
            </a:ext>
          </a:extLst>
        </xdr:cNvPr>
        <xdr:cNvSpPr txBox="1"/>
      </xdr:nvSpPr>
      <xdr:spPr>
        <a:xfrm>
          <a:off x="3518958" y="2786945"/>
          <a:ext cx="696736" cy="19402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 anchorCtr="0">
          <a:noAutofit/>
        </a:bodyPr>
        <a:lstStyle/>
        <a:p>
          <a:r>
            <a:rPr lang="en-US" sz="1100">
              <a:ln w="3175">
                <a:solidFill>
                  <a:schemeClr val="accent2"/>
                </a:solidFill>
              </a:ln>
              <a:solidFill>
                <a:schemeClr val="accent2">
                  <a:lumMod val="75000"/>
                </a:schemeClr>
              </a:solidFill>
            </a:rPr>
            <a:t>Target</a:t>
          </a:r>
        </a:p>
      </xdr:txBody>
    </xdr:sp>
    <xdr:clientData/>
  </xdr:oneCellAnchor>
  <xdr:twoCellAnchor>
    <xdr:from>
      <xdr:col>4</xdr:col>
      <xdr:colOff>651858</xdr:colOff>
      <xdr:row>3</xdr:row>
      <xdr:rowOff>11238</xdr:rowOff>
    </xdr:from>
    <xdr:to>
      <xdr:col>7</xdr:col>
      <xdr:colOff>0</xdr:colOff>
      <xdr:row>5</xdr:row>
      <xdr:rowOff>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B14CB8DD-FFA9-A080-DF8F-4D80F7FA3961}"/>
            </a:ext>
          </a:extLst>
        </xdr:cNvPr>
        <xdr:cNvSpPr txBox="1"/>
      </xdr:nvSpPr>
      <xdr:spPr>
        <a:xfrm>
          <a:off x="2371416" y="640619"/>
          <a:ext cx="1809469" cy="3821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tx1">
                  <a:lumMod val="50000"/>
                  <a:lumOff val="50000"/>
                </a:schemeClr>
              </a:solidFill>
            </a:rPr>
            <a:t>      Website Traffic</a:t>
          </a:r>
        </a:p>
      </xdr:txBody>
    </xdr:sp>
    <xdr:clientData/>
  </xdr:twoCellAnchor>
  <xdr:twoCellAnchor>
    <xdr:from>
      <xdr:col>8</xdr:col>
      <xdr:colOff>305699</xdr:colOff>
      <xdr:row>3</xdr:row>
      <xdr:rowOff>0</xdr:rowOff>
    </xdr:from>
    <xdr:to>
      <xdr:col>13</xdr:col>
      <xdr:colOff>775486</xdr:colOff>
      <xdr:row>17</xdr:row>
      <xdr:rowOff>23377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DE1DA04-DDA8-BF4F-944D-BDB4EFC81E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361894</xdr:colOff>
      <xdr:row>3</xdr:row>
      <xdr:rowOff>33716</xdr:rowOff>
    </xdr:from>
    <xdr:to>
      <xdr:col>17</xdr:col>
      <xdr:colOff>0</xdr:colOff>
      <xdr:row>16</xdr:row>
      <xdr:rowOff>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DF15B4C8-4D44-4245-B786-4CB3791774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213540</xdr:colOff>
      <xdr:row>2</xdr:row>
      <xdr:rowOff>191063</xdr:rowOff>
    </xdr:from>
    <xdr:to>
      <xdr:col>9</xdr:col>
      <xdr:colOff>213540</xdr:colOff>
      <xdr:row>4</xdr:row>
      <xdr:rowOff>168586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8B7777CF-559D-BF4B-91B6-5DC605FFD1EA}"/>
            </a:ext>
          </a:extLst>
        </xdr:cNvPr>
        <xdr:cNvSpPr txBox="1"/>
      </xdr:nvSpPr>
      <xdr:spPr>
        <a:xfrm>
          <a:off x="4394425" y="618143"/>
          <a:ext cx="1640885" cy="3821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tx1">
                  <a:lumMod val="50000"/>
                  <a:lumOff val="50000"/>
                </a:schemeClr>
              </a:solidFill>
            </a:rPr>
            <a:t>      Website Traffic</a:t>
          </a:r>
        </a:p>
      </xdr:txBody>
    </xdr:sp>
    <xdr:clientData/>
  </xdr:twoCellAnchor>
  <xdr:twoCellAnchor>
    <xdr:from>
      <xdr:col>10</xdr:col>
      <xdr:colOff>89912</xdr:colOff>
      <xdr:row>3</xdr:row>
      <xdr:rowOff>0</xdr:rowOff>
    </xdr:from>
    <xdr:to>
      <xdr:col>12</xdr:col>
      <xdr:colOff>89912</xdr:colOff>
      <xdr:row>4</xdr:row>
      <xdr:rowOff>179824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6FC50890-D886-1148-BB30-6391AEEC787D}"/>
            </a:ext>
          </a:extLst>
        </xdr:cNvPr>
        <xdr:cNvSpPr txBox="1"/>
      </xdr:nvSpPr>
      <xdr:spPr>
        <a:xfrm>
          <a:off x="6732124" y="629381"/>
          <a:ext cx="1640885" cy="3821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tx1">
                  <a:lumMod val="50000"/>
                  <a:lumOff val="50000"/>
                </a:schemeClr>
              </a:solidFill>
            </a:rPr>
            <a:t>      Website Traffic</a:t>
          </a:r>
        </a:p>
      </xdr:txBody>
    </xdr:sp>
    <xdr:clientData/>
  </xdr:twoCellAnchor>
  <xdr:twoCellAnchor>
    <xdr:from>
      <xdr:col>13</xdr:col>
      <xdr:colOff>213539</xdr:colOff>
      <xdr:row>3</xdr:row>
      <xdr:rowOff>11238</xdr:rowOff>
    </xdr:from>
    <xdr:to>
      <xdr:col>15</xdr:col>
      <xdr:colOff>337168</xdr:colOff>
      <xdr:row>5</xdr:row>
      <xdr:rowOff>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DB9F3392-E3D7-AD48-97AA-A80E7022532B}"/>
            </a:ext>
          </a:extLst>
        </xdr:cNvPr>
        <xdr:cNvSpPr txBox="1"/>
      </xdr:nvSpPr>
      <xdr:spPr>
        <a:xfrm>
          <a:off x="9317079" y="640619"/>
          <a:ext cx="1640885" cy="3821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tx1">
                  <a:lumMod val="50000"/>
                  <a:lumOff val="50000"/>
                </a:schemeClr>
              </a:solidFill>
            </a:rPr>
            <a:t>      Website Traffic</a:t>
          </a:r>
        </a:p>
      </xdr:txBody>
    </xdr:sp>
    <xdr:clientData/>
  </xdr:twoCellAnchor>
  <xdr:twoCellAnchor>
    <xdr:from>
      <xdr:col>5</xdr:col>
      <xdr:colOff>359645</xdr:colOff>
      <xdr:row>3</xdr:row>
      <xdr:rowOff>89910</xdr:rowOff>
    </xdr:from>
    <xdr:to>
      <xdr:col>11</xdr:col>
      <xdr:colOff>8990</xdr:colOff>
      <xdr:row>17</xdr:row>
      <xdr:rowOff>113287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52D2153E-1529-8948-A7F3-F08EB4C2DA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orporatefinanceinstitute.com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7C2E6-AF71-4174-A93C-B03CC7DD5213}">
  <dimension ref="B1:O46"/>
  <sheetViews>
    <sheetView showGridLines="0" zoomScaleNormal="100" workbookViewId="0"/>
  </sheetViews>
  <sheetFormatPr baseColWidth="10" defaultColWidth="9.1640625" defaultRowHeight="14" x14ac:dyDescent="0.15"/>
  <cols>
    <col min="1" max="2" width="11" style="24" customWidth="1"/>
    <col min="3" max="3" width="33.1640625" style="24" customWidth="1"/>
    <col min="4" max="22" width="11" style="24" customWidth="1"/>
    <col min="23" max="25" width="9.1640625" style="24"/>
    <col min="26" max="26" width="9.1640625" style="24" customWidth="1"/>
    <col min="27" max="16384" width="9.1640625" style="24"/>
  </cols>
  <sheetData>
    <row r="1" spans="2:15" ht="19.5" customHeight="1" x14ac:dyDescent="0.15"/>
    <row r="2" spans="2:15" ht="19.5" customHeight="1" x14ac:dyDescent="0.15"/>
    <row r="3" spans="2:15" ht="19.5" customHeight="1" x14ac:dyDescent="0.15"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</row>
    <row r="4" spans="2:15" ht="19.5" customHeight="1" x14ac:dyDescent="0.15"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</row>
    <row r="5" spans="2:15" ht="19.5" customHeight="1" x14ac:dyDescent="0.15"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</row>
    <row r="6" spans="2:15" ht="19.5" customHeight="1" x14ac:dyDescent="0.15"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</row>
    <row r="7" spans="2:15" ht="19.5" customHeight="1" x14ac:dyDescent="0.15"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</row>
    <row r="8" spans="2:15" ht="19.5" customHeight="1" x14ac:dyDescent="0.15"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</row>
    <row r="9" spans="2:15" ht="19.5" customHeight="1" x14ac:dyDescent="0.15"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</row>
    <row r="10" spans="2:15" ht="19.5" customHeight="1" x14ac:dyDescent="0.15"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</row>
    <row r="11" spans="2:15" ht="19.5" customHeight="1" x14ac:dyDescent="0.15"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spans="2:15" ht="28" x14ac:dyDescent="0.3">
      <c r="B12" s="25"/>
      <c r="C12" s="26" t="s">
        <v>40</v>
      </c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7" t="s">
        <v>30</v>
      </c>
      <c r="O12" s="25"/>
    </row>
    <row r="13" spans="2:15" ht="19.5" customHeight="1" x14ac:dyDescent="0.15">
      <c r="B13" s="25"/>
      <c r="C13" s="28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</row>
    <row r="14" spans="2:15" ht="19.5" customHeight="1" x14ac:dyDescent="0.15">
      <c r="B14" s="25"/>
      <c r="C14" s="29" t="s">
        <v>31</v>
      </c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</row>
    <row r="15" spans="2:15" ht="19.5" customHeight="1" x14ac:dyDescent="0.2">
      <c r="B15" s="25"/>
      <c r="C15" s="30" t="str">
        <f ca="1">RIGHT(CELL("filename",'Dashboard 1'!A1),LEN(CELL("filename",'Dashboard 1'!A1))-FIND("]",CELL("filename",'Dashboard 1'!A1)))</f>
        <v>Dashboard 1</v>
      </c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</row>
    <row r="16" spans="2:15" ht="19.5" customHeight="1" x14ac:dyDescent="0.2">
      <c r="B16" s="25"/>
      <c r="C16" s="31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</row>
    <row r="17" spans="2:15" ht="19.5" customHeight="1" x14ac:dyDescent="0.2">
      <c r="B17" s="25"/>
      <c r="C17" s="31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</row>
    <row r="18" spans="2:15" ht="19.5" customHeight="1" x14ac:dyDescent="0.15"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</row>
    <row r="19" spans="2:15" ht="19.5" customHeight="1" x14ac:dyDescent="0.15">
      <c r="B19" s="25"/>
      <c r="C19" s="25" t="s">
        <v>32</v>
      </c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</row>
    <row r="20" spans="2:15" ht="19.5" customHeight="1" x14ac:dyDescent="0.15">
      <c r="B20" s="25"/>
      <c r="C20" s="32" t="s">
        <v>33</v>
      </c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25"/>
    </row>
    <row r="21" spans="2:15" ht="19.5" customHeight="1" x14ac:dyDescent="0.15">
      <c r="B21" s="25"/>
      <c r="C21" s="25" t="s">
        <v>34</v>
      </c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</row>
    <row r="22" spans="2:15" ht="19.5" customHeight="1" x14ac:dyDescent="0.15">
      <c r="B22" s="25"/>
      <c r="C22" s="33" t="s">
        <v>35</v>
      </c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</row>
    <row r="23" spans="2:15" ht="19.5" customHeight="1" x14ac:dyDescent="0.15">
      <c r="B23" s="25"/>
      <c r="C23" s="33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</row>
    <row r="24" spans="2:15" ht="19.5" customHeight="1" x14ac:dyDescent="0.15">
      <c r="B24" s="25"/>
      <c r="C24" s="34" t="s">
        <v>36</v>
      </c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25"/>
    </row>
    <row r="25" spans="2:15" ht="19.5" customHeight="1" x14ac:dyDescent="0.15">
      <c r="B25" s="36"/>
      <c r="C25" s="34" t="s">
        <v>37</v>
      </c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6"/>
    </row>
    <row r="26" spans="2:15" ht="19.5" customHeight="1" x14ac:dyDescent="0.15">
      <c r="B26" s="36"/>
      <c r="C26" s="34" t="s">
        <v>38</v>
      </c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6"/>
    </row>
    <row r="27" spans="2:15" ht="19.5" customHeight="1" x14ac:dyDescent="0.15">
      <c r="B27" s="36"/>
      <c r="C27" s="34" t="s">
        <v>39</v>
      </c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6"/>
    </row>
    <row r="28" spans="2:15" ht="19.5" customHeight="1" x14ac:dyDescent="0.15">
      <c r="B28" s="36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6"/>
    </row>
    <row r="29" spans="2:15" ht="19.5" customHeight="1" x14ac:dyDescent="0.15"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</row>
    <row r="30" spans="2:15" ht="19.5" customHeight="1" x14ac:dyDescent="0.15"/>
    <row r="31" spans="2:15" ht="19.5" customHeight="1" x14ac:dyDescent="0.15"/>
    <row r="32" spans="2:15" ht="19.5" customHeight="1" x14ac:dyDescent="0.15"/>
    <row r="33" ht="19.5" customHeight="1" x14ac:dyDescent="0.15"/>
    <row r="34" ht="19.5" customHeight="1" x14ac:dyDescent="0.15"/>
    <row r="35" ht="19.5" customHeight="1" x14ac:dyDescent="0.15"/>
    <row r="36" ht="19.5" customHeight="1" x14ac:dyDescent="0.15"/>
    <row r="37" ht="19.5" customHeight="1" x14ac:dyDescent="0.15"/>
    <row r="38" ht="19.5" customHeight="1" x14ac:dyDescent="0.15"/>
    <row r="39" ht="19.5" customHeight="1" x14ac:dyDescent="0.15"/>
    <row r="40" ht="19.5" customHeight="1" x14ac:dyDescent="0.15"/>
    <row r="41" ht="19.5" customHeight="1" x14ac:dyDescent="0.15"/>
    <row r="42" ht="19.5" customHeight="1" x14ac:dyDescent="0.15"/>
    <row r="43" ht="19.5" customHeight="1" x14ac:dyDescent="0.15"/>
    <row r="44" ht="19.5" customHeight="1" x14ac:dyDescent="0.15"/>
    <row r="45" ht="19.5" customHeight="1" x14ac:dyDescent="0.15"/>
    <row r="46" ht="19.5" customHeight="1" x14ac:dyDescent="0.15"/>
  </sheetData>
  <hyperlinks>
    <hyperlink ref="C15" location="'Dashboard 1'!A1" display="'Dashboard 1'!A1" xr:uid="{7228996E-2770-4268-A4DB-B245CDBC261E}"/>
    <hyperlink ref="C22" r:id="rId1" xr:uid="{26F93DAC-4DB5-487F-9170-B3A7B3A35236}"/>
  </hyperlinks>
  <pageMargins left="0.7" right="0.7" top="0.75" bottom="0.75" header="0.3" footer="0.3"/>
  <pageSetup scale="6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1"/>
  <sheetViews>
    <sheetView showGridLines="0" tabSelected="1" zoomScale="113" zoomScaleNormal="85" zoomScaleSheetLayoutView="150" zoomScalePageLayoutView="49" workbookViewId="0">
      <selection activeCell="J5" sqref="J5"/>
    </sheetView>
  </sheetViews>
  <sheetFormatPr baseColWidth="10" defaultColWidth="8.83203125" defaultRowHeight="14" x14ac:dyDescent="0.15"/>
  <cols>
    <col min="1" max="1" width="2.83203125" style="1" customWidth="1"/>
    <col min="2" max="2" width="4.83203125" style="1" customWidth="1"/>
    <col min="3" max="3" width="4.1640625" style="1" customWidth="1"/>
    <col min="4" max="14" width="10.83203125" style="1" customWidth="1"/>
    <col min="15" max="17" width="9.1640625" style="1" bestFit="1" customWidth="1"/>
    <col min="18" max="16384" width="8.83203125" style="1"/>
  </cols>
  <sheetData>
    <row r="1" spans="2:15" ht="12" customHeight="1" x14ac:dyDescent="0.2">
      <c r="B1" s="5"/>
      <c r="C1"/>
      <c r="D1" s="5"/>
      <c r="E1"/>
    </row>
    <row r="2" spans="2:15" ht="21" thickBot="1" x14ac:dyDescent="0.25">
      <c r="B2" s="4" t="s">
        <v>11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2:15" ht="16.25" customHeight="1" x14ac:dyDescent="0.15"/>
    <row r="4" spans="2:15" ht="16.25" customHeight="1" x14ac:dyDescent="0.15"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2:15" ht="15.5" customHeight="1" x14ac:dyDescent="0.15">
      <c r="B5" s="22"/>
      <c r="C5" s="38" t="s">
        <v>41</v>
      </c>
      <c r="L5" s="8"/>
      <c r="M5" s="8"/>
      <c r="N5" s="8"/>
    </row>
    <row r="6" spans="2:15" ht="15.5" customHeight="1" x14ac:dyDescent="0.15">
      <c r="B6" s="23"/>
      <c r="C6" s="38"/>
      <c r="L6" s="8"/>
      <c r="M6" s="8"/>
      <c r="N6" s="8"/>
    </row>
    <row r="7" spans="2:15" ht="15.5" customHeight="1" x14ac:dyDescent="0.15">
      <c r="B7" s="23"/>
      <c r="C7" s="38"/>
      <c r="L7" s="8"/>
      <c r="M7" s="8"/>
      <c r="N7" s="8"/>
    </row>
    <row r="8" spans="2:15" ht="15.5" customHeight="1" x14ac:dyDescent="0.15">
      <c r="B8" s="23"/>
      <c r="C8" s="38"/>
      <c r="L8" s="8"/>
      <c r="M8" s="8"/>
      <c r="N8" s="8"/>
    </row>
    <row r="9" spans="2:15" ht="15.5" customHeight="1" x14ac:dyDescent="0.15">
      <c r="B9" s="23"/>
      <c r="C9" s="38"/>
      <c r="L9" s="8"/>
      <c r="M9" s="8"/>
      <c r="N9" s="8"/>
    </row>
    <row r="10" spans="2:15" ht="15.5" customHeight="1" x14ac:dyDescent="0.15">
      <c r="B10" s="23"/>
      <c r="C10" s="38"/>
    </row>
    <row r="11" spans="2:15" ht="15.5" customHeight="1" x14ac:dyDescent="0.15">
      <c r="B11" s="23"/>
      <c r="C11" s="38"/>
    </row>
    <row r="12" spans="2:15" ht="16.25" customHeight="1" x14ac:dyDescent="0.15"/>
    <row r="13" spans="2:15" ht="16.25" customHeight="1" x14ac:dyDescent="0.15">
      <c r="B13" s="21"/>
      <c r="C13" s="38" t="s">
        <v>43</v>
      </c>
    </row>
    <row r="14" spans="2:15" ht="16.25" customHeight="1" x14ac:dyDescent="0.15">
      <c r="B14" s="22"/>
      <c r="C14" s="3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2:15" ht="15.5" customHeight="1" x14ac:dyDescent="0.15">
      <c r="B15" s="23"/>
      <c r="C15" s="38"/>
    </row>
    <row r="16" spans="2:15" ht="15.5" customHeight="1" x14ac:dyDescent="0.15">
      <c r="B16" s="23"/>
      <c r="C16" s="38"/>
    </row>
    <row r="17" spans="2:19" ht="15.5" customHeight="1" x14ac:dyDescent="0.15">
      <c r="B17" s="23"/>
      <c r="C17" s="38"/>
    </row>
    <row r="18" spans="2:19" ht="15.5" customHeight="1" x14ac:dyDescent="0.15">
      <c r="B18" s="23"/>
      <c r="C18" s="38"/>
    </row>
    <row r="19" spans="2:19" ht="15.5" customHeight="1" x14ac:dyDescent="0.15">
      <c r="B19" s="23"/>
      <c r="C19" s="38"/>
    </row>
    <row r="20" spans="2:19" ht="15.5" customHeight="1" x14ac:dyDescent="0.15">
      <c r="B20" s="23"/>
    </row>
    <row r="21" spans="2:19" ht="15.5" customHeight="1" x14ac:dyDescent="0.15">
      <c r="B21" s="21"/>
      <c r="C21" s="38" t="s">
        <v>2</v>
      </c>
    </row>
    <row r="22" spans="2:19" ht="16.25" customHeight="1" x14ac:dyDescent="0.15">
      <c r="C22" s="38"/>
    </row>
    <row r="23" spans="2:19" ht="15.5" customHeight="1" x14ac:dyDescent="0.15">
      <c r="B23" s="22"/>
      <c r="C23" s="38"/>
    </row>
    <row r="24" spans="2:19" ht="15.5" customHeight="1" x14ac:dyDescent="0.15">
      <c r="B24" s="23"/>
      <c r="C24" s="38"/>
    </row>
    <row r="25" spans="2:19" ht="15.5" customHeight="1" x14ac:dyDescent="0.15">
      <c r="B25" s="23"/>
      <c r="C25" s="38"/>
      <c r="S25" s="9"/>
    </row>
    <row r="26" spans="2:19" ht="15.5" customHeight="1" x14ac:dyDescent="0.15">
      <c r="B26" s="23"/>
      <c r="C26" s="38"/>
    </row>
    <row r="27" spans="2:19" ht="15.5" customHeight="1" x14ac:dyDescent="0.15">
      <c r="B27" s="23"/>
      <c r="C27" s="38"/>
    </row>
    <row r="28" spans="2:19" ht="15.5" customHeight="1" x14ac:dyDescent="0.15">
      <c r="B28" s="23"/>
    </row>
    <row r="29" spans="2:19" ht="15.5" customHeight="1" x14ac:dyDescent="0.15">
      <c r="B29" s="23"/>
      <c r="C29" s="38" t="s">
        <v>42</v>
      </c>
    </row>
    <row r="30" spans="2:19" ht="16.25" customHeight="1" x14ac:dyDescent="0.15">
      <c r="C30" s="38"/>
    </row>
    <row r="31" spans="2:19" ht="16.25" customHeight="1" x14ac:dyDescent="0.15">
      <c r="C31" s="38"/>
    </row>
    <row r="32" spans="2:19" ht="15.5" customHeight="1" x14ac:dyDescent="0.15">
      <c r="B32" s="22"/>
      <c r="C32" s="38"/>
    </row>
    <row r="33" spans="1:15" ht="15.5" customHeight="1" x14ac:dyDescent="0.15">
      <c r="B33" s="23"/>
      <c r="C33" s="38"/>
    </row>
    <row r="34" spans="1:15" ht="15.5" customHeight="1" x14ac:dyDescent="0.15">
      <c r="B34" s="23"/>
      <c r="C34" s="38"/>
    </row>
    <row r="35" spans="1:15" ht="15.5" customHeight="1" x14ac:dyDescent="0.15">
      <c r="B35" s="23"/>
      <c r="C35" s="38"/>
    </row>
    <row r="36" spans="1:15" ht="15.5" customHeight="1" x14ac:dyDescent="0.15">
      <c r="B36" s="23"/>
    </row>
    <row r="37" spans="1:15" ht="15.5" customHeight="1" x14ac:dyDescent="0.15">
      <c r="B37" s="23"/>
    </row>
    <row r="38" spans="1:15" ht="15.5" customHeight="1" x14ac:dyDescent="0.15">
      <c r="B38" s="23"/>
    </row>
    <row r="43" spans="1:15" x14ac:dyDescent="0.15">
      <c r="A43" s="11" t="s">
        <v>17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</row>
    <row r="45" spans="1:15" x14ac:dyDescent="0.15">
      <c r="D45" s="7" t="s">
        <v>13</v>
      </c>
      <c r="E45" s="7" t="s">
        <v>3</v>
      </c>
      <c r="F45" s="7" t="s">
        <v>4</v>
      </c>
      <c r="G45" s="7" t="s">
        <v>5</v>
      </c>
      <c r="H45" s="7" t="s">
        <v>6</v>
      </c>
      <c r="I45" s="7" t="s">
        <v>7</v>
      </c>
      <c r="J45" s="7" t="s">
        <v>8</v>
      </c>
      <c r="K45" s="7" t="s">
        <v>9</v>
      </c>
      <c r="L45" s="7" t="s">
        <v>10</v>
      </c>
      <c r="M45" s="7" t="s">
        <v>14</v>
      </c>
      <c r="N45" s="7" t="s">
        <v>15</v>
      </c>
      <c r="O45" s="7" t="s">
        <v>16</v>
      </c>
    </row>
    <row r="46" spans="1:15" x14ac:dyDescent="0.15">
      <c r="A46" s="6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x14ac:dyDescent="0.15">
      <c r="A47" s="1" t="s">
        <v>29</v>
      </c>
      <c r="D47" s="13">
        <v>5000</v>
      </c>
      <c r="E47" s="13">
        <v>6500</v>
      </c>
      <c r="F47" s="13">
        <v>5000</v>
      </c>
      <c r="G47" s="13">
        <v>6800</v>
      </c>
      <c r="H47" s="13">
        <v>6868</v>
      </c>
      <c r="I47" s="13">
        <v>7829.52</v>
      </c>
      <c r="J47" s="13">
        <v>9708.604800000001</v>
      </c>
      <c r="K47" s="13">
        <v>10485.293184000002</v>
      </c>
      <c r="L47" s="13">
        <v>13106.616480000002</v>
      </c>
      <c r="M47" s="13">
        <v>11009.557843200002</v>
      </c>
      <c r="N47" s="13">
        <v>10879.271107904</v>
      </c>
      <c r="O47" s="13">
        <v>12931.722130350699</v>
      </c>
    </row>
    <row r="48" spans="1:15" x14ac:dyDescent="0.15">
      <c r="A48" s="1" t="s">
        <v>12</v>
      </c>
      <c r="D48" s="13">
        <v>4500</v>
      </c>
      <c r="E48" s="13">
        <v>6000</v>
      </c>
      <c r="F48" s="13">
        <v>6000</v>
      </c>
      <c r="G48" s="13">
        <v>6500</v>
      </c>
      <c r="H48" s="13">
        <v>5837.8</v>
      </c>
      <c r="I48" s="13">
        <v>6655.0920000000006</v>
      </c>
      <c r="J48" s="13">
        <v>8252.3140800000001</v>
      </c>
      <c r="K48" s="13">
        <v>8912.4992064000016</v>
      </c>
      <c r="L48" s="13">
        <v>11140.624008000003</v>
      </c>
      <c r="M48" s="13">
        <v>9358.1241667200011</v>
      </c>
      <c r="N48" s="13">
        <v>9077.3804417184019</v>
      </c>
      <c r="O48" s="13">
        <v>8441.9638107981136</v>
      </c>
    </row>
    <row r="49" spans="1:15" x14ac:dyDescent="0.15"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</row>
    <row r="50" spans="1:15" x14ac:dyDescent="0.15">
      <c r="A50" s="1" t="s">
        <v>2</v>
      </c>
      <c r="D50" s="13">
        <v>8750.0000000000018</v>
      </c>
      <c r="E50" s="13">
        <v>10400</v>
      </c>
      <c r="F50" s="13">
        <v>9250</v>
      </c>
      <c r="G50" s="13">
        <v>12580</v>
      </c>
      <c r="H50" s="13">
        <v>11322</v>
      </c>
      <c r="I50" s="13">
        <v>13926.06</v>
      </c>
      <c r="J50" s="13">
        <v>16293.490199999998</v>
      </c>
      <c r="K50" s="13">
        <v>14175.336473999998</v>
      </c>
      <c r="L50" s="13">
        <v>15876.376850879999</v>
      </c>
      <c r="M50" s="13">
        <v>13653.684091756799</v>
      </c>
      <c r="N50" s="13">
        <v>16292.126182767601</v>
      </c>
      <c r="O50" s="13">
        <v>17209.653753733699</v>
      </c>
    </row>
    <row r="51" spans="1:15" x14ac:dyDescent="0.15">
      <c r="A51" s="1" t="s">
        <v>12</v>
      </c>
      <c r="D51" s="13">
        <v>8000</v>
      </c>
      <c r="E51" s="13">
        <v>9000</v>
      </c>
      <c r="F51" s="13">
        <v>9700</v>
      </c>
      <c r="G51" s="13">
        <v>10000</v>
      </c>
      <c r="H51" s="13">
        <v>9057.6</v>
      </c>
      <c r="I51" s="13">
        <v>11140.848</v>
      </c>
      <c r="J51" s="13">
        <v>13034.792159999999</v>
      </c>
      <c r="K51" s="13">
        <v>11340.269179199999</v>
      </c>
      <c r="L51" s="13">
        <v>12701.101480703999</v>
      </c>
      <c r="M51" s="13">
        <v>10922.94727340544</v>
      </c>
      <c r="N51" s="13">
        <v>12233.700946214092</v>
      </c>
      <c r="O51" s="13">
        <v>12967.723002986939</v>
      </c>
    </row>
    <row r="52" spans="1:15" x14ac:dyDescent="0.15">
      <c r="H52" s="10"/>
      <c r="I52" s="10"/>
      <c r="J52" s="10"/>
      <c r="K52" s="10"/>
      <c r="L52" s="10"/>
      <c r="M52" s="10"/>
      <c r="N52" s="10"/>
      <c r="O52" s="10"/>
    </row>
    <row r="53" spans="1:15" x14ac:dyDescent="0.15">
      <c r="A53" s="1" t="s">
        <v>1</v>
      </c>
      <c r="D53" s="14">
        <v>0.3</v>
      </c>
      <c r="E53" s="14">
        <v>0.32</v>
      </c>
      <c r="F53" s="14">
        <v>0.24</v>
      </c>
      <c r="G53" s="14">
        <v>0.22</v>
      </c>
      <c r="H53" s="14">
        <v>0.23</v>
      </c>
      <c r="I53" s="14">
        <v>0.24000000000000002</v>
      </c>
      <c r="J53" s="14">
        <v>0.25</v>
      </c>
      <c r="K53" s="14">
        <v>0.27</v>
      </c>
      <c r="L53" s="14">
        <v>0.28000000000000003</v>
      </c>
      <c r="M53" s="14">
        <v>0.26</v>
      </c>
      <c r="N53" s="14">
        <v>0.24</v>
      </c>
      <c r="O53" s="14">
        <v>0.22999999999999998</v>
      </c>
    </row>
    <row r="54" spans="1:15" x14ac:dyDescent="0.15">
      <c r="A54" s="1" t="s">
        <v>12</v>
      </c>
      <c r="D54" s="14">
        <v>0.25</v>
      </c>
      <c r="E54" s="14">
        <v>0.25</v>
      </c>
      <c r="F54" s="14">
        <v>0.25</v>
      </c>
      <c r="G54" s="14">
        <v>0.25</v>
      </c>
      <c r="H54" s="14">
        <v>0.25</v>
      </c>
      <c r="I54" s="14">
        <v>0.25</v>
      </c>
      <c r="J54" s="14">
        <v>0.25</v>
      </c>
      <c r="K54" s="14">
        <v>0.25</v>
      </c>
      <c r="L54" s="14">
        <v>0.25</v>
      </c>
      <c r="M54" s="14">
        <v>0.25</v>
      </c>
      <c r="N54" s="14">
        <v>0.25</v>
      </c>
      <c r="O54" s="14">
        <v>0.25</v>
      </c>
    </row>
    <row r="59" spans="1:15" x14ac:dyDescent="0.15">
      <c r="D59" s="11" t="s">
        <v>25</v>
      </c>
      <c r="E59" s="20"/>
      <c r="G59" s="11" t="s">
        <v>26</v>
      </c>
      <c r="H59" s="20"/>
      <c r="I59" s="14"/>
      <c r="J59" s="11" t="s">
        <v>27</v>
      </c>
      <c r="K59" s="20"/>
      <c r="M59" s="11" t="s">
        <v>28</v>
      </c>
      <c r="N59" s="20"/>
    </row>
    <row r="60" spans="1:15" x14ac:dyDescent="0.15">
      <c r="I60" s="15"/>
    </row>
    <row r="61" spans="1:15" x14ac:dyDescent="0.15">
      <c r="D61" s="6" t="s">
        <v>22</v>
      </c>
      <c r="G61" s="6" t="s">
        <v>22</v>
      </c>
      <c r="J61" s="6" t="s">
        <v>22</v>
      </c>
      <c r="M61" s="6" t="s">
        <v>22</v>
      </c>
    </row>
    <row r="62" spans="1:15" x14ac:dyDescent="0.15">
      <c r="D62" s="2" t="s">
        <v>18</v>
      </c>
      <c r="E62" s="19">
        <v>0</v>
      </c>
      <c r="G62" s="2" t="s">
        <v>18</v>
      </c>
      <c r="H62" s="19">
        <v>0</v>
      </c>
      <c r="J62" s="2" t="s">
        <v>18</v>
      </c>
      <c r="K62" s="19">
        <v>0</v>
      </c>
      <c r="M62" s="2" t="s">
        <v>18</v>
      </c>
      <c r="N62" s="19">
        <v>0</v>
      </c>
    </row>
    <row r="63" spans="1:15" x14ac:dyDescent="0.15">
      <c r="D63" s="1" t="s">
        <v>19</v>
      </c>
      <c r="E63" s="17">
        <v>0.3</v>
      </c>
      <c r="G63" s="1" t="s">
        <v>19</v>
      </c>
      <c r="H63" s="17">
        <v>0.3</v>
      </c>
      <c r="J63" s="1" t="s">
        <v>19</v>
      </c>
      <c r="K63" s="17">
        <v>0.3</v>
      </c>
      <c r="M63" s="1" t="s">
        <v>19</v>
      </c>
      <c r="N63" s="17">
        <v>0.3</v>
      </c>
    </row>
    <row r="64" spans="1:15" x14ac:dyDescent="0.15">
      <c r="D64" s="1" t="s">
        <v>20</v>
      </c>
      <c r="E64" s="17">
        <v>0.3</v>
      </c>
      <c r="G64" s="1" t="s">
        <v>20</v>
      </c>
      <c r="H64" s="17">
        <v>0.3</v>
      </c>
      <c r="J64" s="1" t="s">
        <v>20</v>
      </c>
      <c r="K64" s="17">
        <v>0.3</v>
      </c>
      <c r="M64" s="1" t="s">
        <v>20</v>
      </c>
      <c r="N64" s="17">
        <v>0.3</v>
      </c>
    </row>
    <row r="65" spans="4:14" x14ac:dyDescent="0.15">
      <c r="D65" s="1" t="s">
        <v>21</v>
      </c>
      <c r="E65" s="17">
        <v>0.3</v>
      </c>
      <c r="G65" s="1" t="s">
        <v>21</v>
      </c>
      <c r="H65" s="17">
        <v>0.3</v>
      </c>
      <c r="J65" s="1" t="s">
        <v>21</v>
      </c>
      <c r="K65" s="17">
        <v>0.3</v>
      </c>
      <c r="M65" s="1" t="s">
        <v>21</v>
      </c>
      <c r="N65" s="17">
        <v>0.3</v>
      </c>
    </row>
    <row r="66" spans="4:14" x14ac:dyDescent="0.15">
      <c r="D66" s="1" t="s">
        <v>0</v>
      </c>
      <c r="E66" s="18">
        <f>SUM(E62:E65)</f>
        <v>0.89999999999999991</v>
      </c>
      <c r="G66" s="1" t="s">
        <v>0</v>
      </c>
      <c r="H66" s="18">
        <f>SUM(H62:H65)</f>
        <v>0.89999999999999991</v>
      </c>
      <c r="J66" s="1" t="s">
        <v>0</v>
      </c>
      <c r="K66" s="18">
        <f>SUM(K62:K65)</f>
        <v>0.89999999999999991</v>
      </c>
      <c r="M66" s="1" t="s">
        <v>0</v>
      </c>
      <c r="N66" s="18">
        <f>SUM(N62:N65)</f>
        <v>0.89999999999999991</v>
      </c>
    </row>
    <row r="68" spans="4:14" x14ac:dyDescent="0.15">
      <c r="D68" s="6" t="s">
        <v>23</v>
      </c>
      <c r="G68" s="6" t="s">
        <v>23</v>
      </c>
      <c r="J68" s="6" t="s">
        <v>23</v>
      </c>
      <c r="M68" s="6" t="s">
        <v>23</v>
      </c>
    </row>
    <row r="69" spans="4:14" x14ac:dyDescent="0.15">
      <c r="D69" s="2" t="s">
        <v>18</v>
      </c>
      <c r="E69" s="37">
        <f>(180-E70)*D70</f>
        <v>132</v>
      </c>
      <c r="G69" s="2" t="s">
        <v>18</v>
      </c>
      <c r="H69" s="37">
        <f>(180-H70)*G70</f>
        <v>70.400000000000006</v>
      </c>
      <c r="J69" s="2" t="s">
        <v>18</v>
      </c>
      <c r="K69" s="37">
        <f>(180-K70)*J70</f>
        <v>56.32</v>
      </c>
      <c r="M69" s="2" t="s">
        <v>18</v>
      </c>
      <c r="N69" s="37">
        <f>(180-N70)*M70</f>
        <v>114.4</v>
      </c>
    </row>
    <row r="70" spans="4:14" x14ac:dyDescent="0.15">
      <c r="D70" s="16">
        <v>0.75</v>
      </c>
      <c r="E70" s="17">
        <v>4</v>
      </c>
      <c r="G70" s="16">
        <v>0.4</v>
      </c>
      <c r="H70" s="17">
        <v>4</v>
      </c>
      <c r="J70" s="16">
        <v>0.32</v>
      </c>
      <c r="K70" s="17">
        <v>4</v>
      </c>
      <c r="M70" s="16">
        <v>0.65</v>
      </c>
      <c r="N70" s="17">
        <v>4</v>
      </c>
    </row>
    <row r="71" spans="4:14" x14ac:dyDescent="0.15">
      <c r="D71" s="1" t="s">
        <v>24</v>
      </c>
      <c r="E71" s="10">
        <f>360-E69-E70</f>
        <v>224</v>
      </c>
      <c r="G71" s="1" t="s">
        <v>24</v>
      </c>
      <c r="H71" s="10">
        <f>360-H69-H70</f>
        <v>285.60000000000002</v>
      </c>
      <c r="J71" s="1" t="s">
        <v>24</v>
      </c>
      <c r="K71" s="10">
        <f>360-K69-K70</f>
        <v>299.68</v>
      </c>
      <c r="M71" s="1" t="s">
        <v>24</v>
      </c>
      <c r="N71" s="10">
        <f>360-N69-N70</f>
        <v>241.6</v>
      </c>
    </row>
  </sheetData>
  <mergeCells count="4">
    <mergeCell ref="C5:C11"/>
    <mergeCell ref="C13:C19"/>
    <mergeCell ref="C21:C27"/>
    <mergeCell ref="C29:C35"/>
  </mergeCells>
  <pageMargins left="0.5" right="0.5" top="0.5" bottom="0.5" header="0.3" footer="0.3"/>
  <pageSetup scale="89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Cover Page</vt:lpstr>
      <vt:lpstr>Dashboard 1</vt:lpstr>
      <vt:lpstr>'Cover Page'!Print_Area</vt:lpstr>
      <vt:lpstr>'Dashboard 1'!Print_Area</vt:lpstr>
    </vt:vector>
  </TitlesOfParts>
  <Company>Onlineshoes.com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CFI</dc:creator>
  <cp:lastModifiedBy>Shravani Goud Dindu</cp:lastModifiedBy>
  <cp:lastPrinted>2017-05-09T23:29:21Z</cp:lastPrinted>
  <dcterms:created xsi:type="dcterms:W3CDTF">2016-03-28T18:22:40Z</dcterms:created>
  <dcterms:modified xsi:type="dcterms:W3CDTF">2025-08-04T04:53:58Z</dcterms:modified>
</cp:coreProperties>
</file>