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shravanigouddindu/Downloads/"/>
    </mc:Choice>
  </mc:AlternateContent>
  <xr:revisionPtr revIDLastSave="0" documentId="13_ncr:1_{AFACBDA8-F948-6E45-9B96-7A825E952A78}" xr6:coauthVersionLast="47" xr6:coauthVersionMax="47" xr10:uidLastSave="{00000000-0000-0000-0000-000000000000}"/>
  <bookViews>
    <workbookView xWindow="0" yWindow="740" windowWidth="29400" windowHeight="18380" tabRatio="634" activeTab="1" xr2:uid="{00000000-000D-0000-FFFF-FFFF00000000}"/>
  </bookViews>
  <sheets>
    <sheet name="Cover Page" sheetId="7" r:id="rId1"/>
    <sheet name="Dashboard_3" sheetId="6" r:id="rId2"/>
  </sheets>
  <definedNames>
    <definedName name="_xlchart.v1.0" hidden="1">Dashboard_3!$R$14:$R$22</definedName>
    <definedName name="_xlchart.v1.1" hidden="1">Dashboard_3!$U$14:$U$22</definedName>
    <definedName name="_xlchart.v1.2" hidden="1">Dashboard_3!$R$14:$R$22</definedName>
    <definedName name="_xlchart.v1.3" hidden="1">Dashboard_3!$U$14:$U$22</definedName>
    <definedName name="CIQWBGuid" localSheetId="0" hidden="1">"2cd8126d-26c3-430c-b7fa-a069e3a1fc62"</definedName>
    <definedName name="CIQWBGuid" hidden="1">"3a76856e-063b-4329-b2c5-ae285df6792b"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41666.7099189815</definedName>
    <definedName name="IQ_NAMES_REVISION_DATE_" hidden="1">41887.7188541667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'Cover Page'!$A$1:$P$26</definedName>
    <definedName name="_xlnm.Print_Area" localSheetId="1">Dashboard_3!$A$1:$O$37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7" l="1"/>
  <c r="V10" i="6" l="1"/>
  <c r="W10" i="6"/>
  <c r="X10" i="6"/>
  <c r="Y10" i="6"/>
  <c r="U10" i="6"/>
  <c r="U11" i="6" s="1"/>
  <c r="V11" i="6" s="1"/>
  <c r="W11" i="6" s="1"/>
  <c r="X11" i="6" s="1"/>
  <c r="Y11" i="6" s="1"/>
  <c r="S45" i="6"/>
  <c r="U44" i="6"/>
  <c r="U43" i="6"/>
  <c r="U42" i="6"/>
  <c r="T42" i="6"/>
  <c r="T43" i="6"/>
  <c r="T44" i="6" s="1"/>
  <c r="U41" i="6"/>
  <c r="S38" i="6"/>
  <c r="U37" i="6"/>
  <c r="U36" i="6"/>
  <c r="U35" i="6"/>
  <c r="T35" i="6"/>
  <c r="T36" i="6"/>
  <c r="T37" i="6"/>
  <c r="U34" i="6"/>
  <c r="U38" i="6" s="1"/>
  <c r="T28" i="6"/>
  <c r="T29" i="6"/>
  <c r="U30" i="6"/>
  <c r="U29" i="6"/>
  <c r="U28" i="6"/>
  <c r="U27" i="6"/>
  <c r="S31" i="6"/>
  <c r="T45" i="6" l="1"/>
  <c r="U31" i="6"/>
  <c r="U45" i="6"/>
  <c r="T30" i="6"/>
  <c r="T38" i="6"/>
  <c r="T31" i="6"/>
</calcChain>
</file>

<file path=xl/sharedStrings.xml><?xml version="1.0" encoding="utf-8"?>
<sst xmlns="http://schemas.openxmlformats.org/spreadsheetml/2006/main" count="57" uniqueCount="40">
  <si>
    <t>DASHBOARD TEMPLATE</t>
  </si>
  <si>
    <t>Raw Data</t>
  </si>
  <si>
    <t>Interest</t>
  </si>
  <si>
    <t>Reveneue</t>
  </si>
  <si>
    <t>Gross Profit</t>
  </si>
  <si>
    <t>Taxes</t>
  </si>
  <si>
    <t>Net Earnings</t>
  </si>
  <si>
    <t>Salaries &amp; Benefits</t>
  </si>
  <si>
    <t>Rent &amp; Overhead</t>
  </si>
  <si>
    <t>COGS</t>
  </si>
  <si>
    <t>Depre. &amp; Amort.</t>
  </si>
  <si>
    <t>Cash from Operations</t>
  </si>
  <si>
    <t>Cash from Investing</t>
  </si>
  <si>
    <t>Cash from Financing</t>
  </si>
  <si>
    <t>Actual</t>
  </si>
  <si>
    <t>Levels</t>
  </si>
  <si>
    <t>Level 1</t>
  </si>
  <si>
    <t>Level 2</t>
  </si>
  <si>
    <t>Level 3</t>
  </si>
  <si>
    <t>Total</t>
  </si>
  <si>
    <t>Cash Balance</t>
  </si>
  <si>
    <t>2018 Productivity Rate</t>
  </si>
  <si>
    <t>2018 Net Earnings Waterfall</t>
  </si>
  <si>
    <t>Bus 1</t>
  </si>
  <si>
    <t>Bus 2</t>
  </si>
  <si>
    <t>Bus 3</t>
  </si>
  <si>
    <t>© Corporate Finance Institute</t>
  </si>
  <si>
    <t>Net Change in Cash</t>
  </si>
  <si>
    <t>Strictly Confidential</t>
  </si>
  <si>
    <t>Table of Contents</t>
  </si>
  <si>
    <t>Notes</t>
  </si>
  <si>
    <t>This Excel model is for educational purposes only and should not be used for any other reason.</t>
  </si>
  <si>
    <t>All content is Copyright material of CFI Education Inc.</t>
  </si>
  <si>
    <t>https://corporatefinanceinstitute.com/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</si>
  <si>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</si>
  <si>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</si>
  <si>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</si>
  <si>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</si>
  <si>
    <t>Dashboard Template 3 - Blank</t>
  </si>
  <si>
    <t>Cash Flow and Cash Balance  (000s)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</si>
</sst>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yy;@"/>
    <numFmt numFmtId="166" formatCode="_(* #,##0_);_(* \(#,##0\);_(* &quot;-&quot;??_);_(@_)"/>
    <numFmt numFmtId="167" formatCode="_(&quot;$&quot;* #,##0_);_(&quot;$&quot;* \(#,##0\);_(&quot;$&quot;* &quot;-&quot;??_);_(@_)"/>
    <numFmt numFmtId="168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Open Sans"/>
      <family val="2"/>
    </font>
    <font>
      <sz val="9"/>
      <color theme="1"/>
      <name val="Open Sans"/>
      <family val="2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sz val="11"/>
      <color rgb="FF0000FF"/>
      <name val="Open Sans"/>
      <family val="2"/>
    </font>
    <font>
      <sz val="11"/>
      <name val="Open Sans"/>
      <family val="2"/>
    </font>
    <font>
      <sz val="9"/>
      <color theme="2"/>
      <name val="Open Sans"/>
      <family val="2"/>
    </font>
    <font>
      <b/>
      <sz val="16"/>
      <color theme="2"/>
      <name val="Open Sans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rgb="FF00206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rgb="FF132E57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</cellStyleXfs>
  <cellXfs count="42">
    <xf numFmtId="0" fontId="0" fillId="0" borderId="0" xfId="0"/>
    <xf numFmtId="165" fontId="3" fillId="0" borderId="0" xfId="0" applyNumberFormat="1" applyFont="1" applyAlignment="1">
      <alignment horizontal="left"/>
    </xf>
    <xf numFmtId="0" fontId="4" fillId="0" borderId="0" xfId="0" applyFont="1"/>
    <xf numFmtId="167" fontId="4" fillId="0" borderId="0" xfId="0" applyNumberFormat="1" applyFont="1"/>
    <xf numFmtId="0" fontId="4" fillId="0" borderId="2" xfId="0" applyFont="1" applyBorder="1"/>
    <xf numFmtId="0" fontId="2" fillId="2" borderId="0" xfId="0" applyFont="1" applyFill="1" applyAlignment="1">
      <alignment horizontal="centerContinuous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right"/>
    </xf>
    <xf numFmtId="0" fontId="5" fillId="0" borderId="0" xfId="0" applyFont="1"/>
    <xf numFmtId="167" fontId="6" fillId="0" borderId="0" xfId="4" applyNumberFormat="1" applyFont="1" applyFill="1" applyBorder="1"/>
    <xf numFmtId="167" fontId="6" fillId="0" borderId="0" xfId="4" applyNumberFormat="1" applyFont="1" applyFill="1"/>
    <xf numFmtId="0" fontId="4" fillId="0" borderId="0" xfId="0" applyFont="1" applyAlignment="1">
      <alignment horizontal="center" vertical="center"/>
    </xf>
    <xf numFmtId="166" fontId="6" fillId="0" borderId="1" xfId="3" applyNumberFormat="1" applyFont="1" applyFill="1" applyBorder="1"/>
    <xf numFmtId="0" fontId="5" fillId="0" borderId="0" xfId="0" applyFont="1" applyAlignment="1">
      <alignment horizontal="left"/>
    </xf>
    <xf numFmtId="166" fontId="4" fillId="0" borderId="0" xfId="3" applyNumberFormat="1" applyFont="1"/>
    <xf numFmtId="167" fontId="6" fillId="0" borderId="0" xfId="4" applyNumberFormat="1" applyFont="1"/>
    <xf numFmtId="166" fontId="4" fillId="0" borderId="0" xfId="0" applyNumberFormat="1" applyFont="1"/>
    <xf numFmtId="0" fontId="4" fillId="0" borderId="0" xfId="0" applyFont="1" applyAlignment="1">
      <alignment horizontal="left"/>
    </xf>
    <xf numFmtId="168" fontId="4" fillId="0" borderId="0" xfId="1" applyNumberFormat="1" applyFont="1"/>
    <xf numFmtId="168" fontId="6" fillId="0" borderId="0" xfId="1" applyNumberFormat="1" applyFont="1"/>
    <xf numFmtId="168" fontId="6" fillId="0" borderId="3" xfId="1" applyNumberFormat="1" applyFont="1" applyBorder="1"/>
    <xf numFmtId="168" fontId="4" fillId="0" borderId="3" xfId="1" applyNumberFormat="1" applyFont="1" applyBorder="1"/>
    <xf numFmtId="0" fontId="4" fillId="0" borderId="3" xfId="0" applyFont="1" applyBorder="1" applyAlignment="1">
      <alignment horizontal="center"/>
    </xf>
    <xf numFmtId="0" fontId="7" fillId="0" borderId="0" xfId="0" applyFont="1"/>
    <xf numFmtId="167" fontId="7" fillId="0" borderId="0" xfId="4" applyNumberFormat="1" applyFont="1" applyFill="1"/>
    <xf numFmtId="165" fontId="8" fillId="0" borderId="0" xfId="0" applyNumberFormat="1" applyFont="1" applyAlignment="1">
      <alignment horizontal="left"/>
    </xf>
    <xf numFmtId="0" fontId="9" fillId="0" borderId="2" xfId="0" quotePrefix="1" applyFont="1" applyBorder="1"/>
    <xf numFmtId="0" fontId="2" fillId="3" borderId="0" xfId="0" applyFont="1" applyFill="1" applyAlignment="1">
      <alignment horizontal="centerContinuous" vertical="center"/>
    </xf>
    <xf numFmtId="44" fontId="4" fillId="0" borderId="0" xfId="4" applyFont="1"/>
    <xf numFmtId="0" fontId="11" fillId="4" borderId="0" xfId="6" applyFont="1" applyFill="1"/>
    <xf numFmtId="0" fontId="11" fillId="0" borderId="0" xfId="6" applyFont="1"/>
    <xf numFmtId="0" fontId="12" fillId="0" borderId="0" xfId="6" applyFont="1" applyProtection="1">
      <protection locked="0"/>
    </xf>
    <xf numFmtId="0" fontId="13" fillId="0" borderId="0" xfId="6" applyFont="1" applyAlignment="1">
      <alignment horizontal="right"/>
    </xf>
    <xf numFmtId="0" fontId="11" fillId="0" borderId="0" xfId="6" applyFont="1" applyProtection="1">
      <protection locked="0"/>
    </xf>
    <xf numFmtId="0" fontId="13" fillId="0" borderId="0" xfId="6" applyFont="1" applyProtection="1">
      <protection locked="0"/>
    </xf>
    <xf numFmtId="0" fontId="14" fillId="0" borderId="1" xfId="5" applyFont="1" applyFill="1" applyBorder="1" applyProtection="1">
      <protection locked="0"/>
    </xf>
    <xf numFmtId="0" fontId="1" fillId="0" borderId="0" xfId="6"/>
    <xf numFmtId="0" fontId="11" fillId="0" borderId="1" xfId="6" applyFont="1" applyBorder="1"/>
    <xf numFmtId="0" fontId="16" fillId="0" borderId="0" xfId="7" applyFont="1" applyFill="1" applyBorder="1"/>
    <xf numFmtId="0" fontId="17" fillId="5" borderId="0" xfId="6" applyFont="1" applyFill="1"/>
    <xf numFmtId="0" fontId="11" fillId="5" borderId="0" xfId="6" applyFont="1" applyFill="1"/>
    <xf numFmtId="0" fontId="11" fillId="6" borderId="0" xfId="6" applyFont="1" applyFill="1"/>
  </cellXfs>
  <cellStyles count="8">
    <cellStyle name="Comma" xfId="3" builtinId="3"/>
    <cellStyle name="Comma 2" xfId="2" xr:uid="{00000000-0005-0000-0000-000001000000}"/>
    <cellStyle name="Currency" xfId="4" builtinId="4"/>
    <cellStyle name="Hyperlink" xfId="5" builtinId="8"/>
    <cellStyle name="Hyperlink 2 2" xfId="7" xr:uid="{9675DCCC-DFF2-429B-A701-6CCF00E30F3A}"/>
    <cellStyle name="Normal" xfId="0" builtinId="0"/>
    <cellStyle name="Normal 2 2" xfId="6" xr:uid="{18B34616-230E-4D66-B3F5-EAEDA02FF7AA}"/>
    <cellStyle name="Percent" xfId="1" builtinId="5"/>
  </cellStyles>
  <dxfs count="0"/>
  <tableStyles count="0" defaultTableStyle="TableStyleMedium2" defaultPivotStyle="PivotStyleLight16"/>
  <colors>
    <mruColors>
      <color rgb="FFED9330"/>
      <color rgb="FFED942D"/>
      <color rgb="FF0000FF"/>
      <color rgb="FF676767"/>
      <color rgb="FF132E57"/>
      <color rgb="FF1E8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72222222222221"/>
          <c:y val="0.15740740740740741"/>
          <c:w val="0.85672222222222227"/>
          <c:h val="0.735832239720034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Dashboard_3!$R$7</c:f>
              <c:strCache>
                <c:ptCount val="1"/>
                <c:pt idx="0">
                  <c:v>Cash from Operations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Dashboard_3!$U$5:$Y$5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Dashboard_3!$U$7:$Y$7</c:f>
              <c:numCache>
                <c:formatCode>_("$"* #,##0_);_("$"* \(#,##0\);_("$"* "-"??_);_(@_)</c:formatCode>
                <c:ptCount val="5"/>
                <c:pt idx="0">
                  <c:v>28413.537599999996</c:v>
                </c:pt>
                <c:pt idx="1">
                  <c:v>74216.200493633907</c:v>
                </c:pt>
                <c:pt idx="2">
                  <c:v>102016.03165539398</c:v>
                </c:pt>
                <c:pt idx="3">
                  <c:v>116562.23707078592</c:v>
                </c:pt>
                <c:pt idx="4">
                  <c:v>119940.55427574085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1-A641-8DF1-2E56426FC7DE}"/>
            </c:ext>
          </c:extLst>
        </c:ser>
        <c:ser>
          <c:idx val="1"/>
          <c:order val="1"/>
          <c:tx>
            <c:strRef>
              <c:f>Dashboard_3!$R$8</c:f>
              <c:strCache>
                <c:ptCount val="1"/>
                <c:pt idx="0">
                  <c:v>Cash from Investing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Dashboard_3!$U$5:$Y$5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Dashboard_3!$U$8:$Y$8</c:f>
              <c:numCache>
                <c:formatCode>_("$"* #,##0_);_("$"* \(#,##0\);_("$"* "-"??_);_(@_)</c:formatCode>
                <c:ptCount val="5"/>
                <c:pt idx="0">
                  <c:v>-65000</c:v>
                </c:pt>
                <c:pt idx="1">
                  <c:v>-46700</c:v>
                </c:pt>
                <c:pt idx="2">
                  <c:v>-49100</c:v>
                </c:pt>
                <c:pt idx="3">
                  <c:v>-101000</c:v>
                </c:pt>
                <c:pt idx="4">
                  <c:v>-121000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1-A641-8DF1-2E56426FC7DE}"/>
            </c:ext>
          </c:extLst>
        </c:ser>
        <c:ser>
          <c:idx val="2"/>
          <c:order val="2"/>
          <c:tx>
            <c:strRef>
              <c:f>Dashboard_3!$R$9</c:f>
              <c:strCache>
                <c:ptCount val="1"/>
                <c:pt idx="0">
                  <c:v>Cash from Financing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Dashboard_3!$U$5:$Y$5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Dashboard_3!$U$9:$Y$9</c:f>
              <c:numCache>
                <c:formatCode>_("$"* #,##0_);_("$"* \(#,##0\);_("$"* "-"??_);_(@_)</c:formatCode>
                <c:ptCount val="5"/>
                <c:pt idx="0">
                  <c:v>100000</c:v>
                </c:pt>
                <c:pt idx="1">
                  <c:v>0</c:v>
                </c:pt>
                <c:pt idx="2">
                  <c:v>-60000</c:v>
                </c:pt>
                <c:pt idx="3">
                  <c:v>47800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01-A641-8DF1-2E56426FC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4413023"/>
        <c:axId val="2145777280"/>
      </c:barChart>
      <c:lineChart>
        <c:grouping val="standard"/>
        <c:varyColors val="0"/>
        <c:ser>
          <c:idx val="3"/>
          <c:order val="3"/>
          <c:tx>
            <c:strRef>
              <c:f>Dashboard_3!$R$11</c:f>
              <c:strCache>
                <c:ptCount val="1"/>
                <c:pt idx="0">
                  <c:v>Cash Balance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Dashboard_3!$U$11:$Y$11</c:f>
              <c:numCache>
                <c:formatCode>_("$"* #,##0_);_("$"* \(#,##0\);_("$"* "-"??_);_(@_)</c:formatCode>
                <c:ptCount val="5"/>
                <c:pt idx="0">
                  <c:v>63413.537599999996</c:v>
                </c:pt>
                <c:pt idx="1">
                  <c:v>90929.738093633903</c:v>
                </c:pt>
                <c:pt idx="2">
                  <c:v>83845.769749027881</c:v>
                </c:pt>
                <c:pt idx="3">
                  <c:v>147208.0068198138</c:v>
                </c:pt>
                <c:pt idx="4">
                  <c:v>146148.56109555467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01-A641-8DF1-2E56426FC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3023"/>
        <c:axId val="2145777280"/>
      </c:lineChart>
      <c:catAx>
        <c:axId val="441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777280"/>
        <c:auto val="1"/>
        <c:lblAlgn val="ctr"/>
        <c:lblOffset val="100"/>
        <c:noMultiLvlLbl val="0"/>
      </c:catAx>
      <c:valAx>
        <c:axId val="2145777280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3023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132764654418201E-2"/>
          <c:y val="2.3748906386701664E-2"/>
          <c:w val="0.96086723534558183"/>
          <c:h val="0.119769612131816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43-0542-9448-9AED2D09B07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43-0542-9448-9AED2D09B0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Dashboard_3!$S$27:$U$27</c:f>
              <c:numCache>
                <c:formatCode>0.0%</c:formatCode>
                <c:ptCount val="3"/>
                <c:pt idx="0">
                  <c:v>0</c:v>
                </c:pt>
                <c:pt idx="1">
                  <c:v>0.74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3-0542-9448-9AED2D09B072}"/>
            </c:ext>
          </c:extLst>
        </c:ser>
        <c:ser>
          <c:idx val="1"/>
          <c:order val="1"/>
          <c:spPr>
            <a:solidFill>
              <a:srgbClr val="ED942D"/>
            </a:solidFill>
            <a:ln>
              <a:noFill/>
            </a:ln>
            <a:effectLst/>
          </c:spPr>
          <c:invertIfNegative val="0"/>
          <c:val>
            <c:numRef>
              <c:f>Dashboard_3!$S$28:$U$28</c:f>
              <c:numCache>
                <c:formatCode>0.0%</c:formatCode>
                <c:ptCount val="3"/>
                <c:pt idx="0">
                  <c:v>0.8</c:v>
                </c:pt>
                <c:pt idx="1">
                  <c:v>6.0000000000000053E-2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3-0542-9448-9AED2D09B072}"/>
            </c:ext>
          </c:extLst>
        </c:ser>
        <c:ser>
          <c:idx val="2"/>
          <c:order val="2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Dashboard_3!$S$29:$U$29</c:f>
              <c:numCache>
                <c:formatCode>0.0%</c:formatCode>
                <c:ptCount val="3"/>
                <c:pt idx="0">
                  <c:v>0.1</c:v>
                </c:pt>
                <c:pt idx="1">
                  <c:v>9.9999999999999978E-2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43-0542-9448-9AED2D09B072}"/>
            </c:ext>
          </c:extLst>
        </c:ser>
        <c:ser>
          <c:idx val="3"/>
          <c:order val="3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Dashboard_3!$S$30:$U$30</c:f>
              <c:numCache>
                <c:formatCode>0.0%</c:formatCode>
                <c:ptCount val="3"/>
                <c:pt idx="0">
                  <c:v>0.1</c:v>
                </c:pt>
                <c:pt idx="1">
                  <c:v>9.9999999999999978E-2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43-0542-9448-9AED2D09B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70943439"/>
        <c:axId val="1271548943"/>
      </c:barChart>
      <c:catAx>
        <c:axId val="1270943439"/>
        <c:scaling>
          <c:orientation val="minMax"/>
        </c:scaling>
        <c:delete val="1"/>
        <c:axPos val="l"/>
        <c:majorTickMark val="none"/>
        <c:minorTickMark val="none"/>
        <c:tickLblPos val="nextTo"/>
        <c:crossAx val="1271548943"/>
        <c:crossesAt val="0.01"/>
        <c:auto val="1"/>
        <c:lblAlgn val="ctr"/>
        <c:lblOffset val="100"/>
        <c:noMultiLvlLbl val="0"/>
      </c:catAx>
      <c:valAx>
        <c:axId val="1271548943"/>
        <c:scaling>
          <c:orientation val="minMax"/>
          <c:max val="1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943439"/>
        <c:crosses val="autoZero"/>
        <c:crossBetween val="between"/>
        <c:majorUnit val="0.1"/>
        <c:minorUnit val="0.0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FB6-2F46-AAEE-3008C7F9C5E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FB6-2F46-AAEE-3008C7F9C5E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B6-2F46-AAEE-3008C7F9C5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Dashboard_3!$S$34:$U$34</c:f>
              <c:numCache>
                <c:formatCode>0.0%</c:formatCode>
                <c:ptCount val="3"/>
                <c:pt idx="0">
                  <c:v>0</c:v>
                </c:pt>
                <c:pt idx="1">
                  <c:v>0.87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B6-2F46-AAEE-3008C7F9C5E8}"/>
            </c:ext>
          </c:extLst>
        </c:ser>
        <c:ser>
          <c:idx val="1"/>
          <c:order val="1"/>
          <c:spPr>
            <a:solidFill>
              <a:srgbClr val="ED9330"/>
            </a:solidFill>
            <a:ln>
              <a:noFill/>
            </a:ln>
            <a:effectLst/>
          </c:spPr>
          <c:invertIfNegative val="0"/>
          <c:val>
            <c:numRef>
              <c:f>Dashboard_3!$S$35:$U$35</c:f>
              <c:numCache>
                <c:formatCode>0.0%</c:formatCode>
                <c:ptCount val="3"/>
                <c:pt idx="0">
                  <c:v>0.8</c:v>
                </c:pt>
                <c:pt idx="1">
                  <c:v>0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B6-2F46-AAEE-3008C7F9C5E8}"/>
            </c:ext>
          </c:extLst>
        </c:ser>
        <c:ser>
          <c:idx val="2"/>
          <c:order val="2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Dashboard_3!$S$36:$U$36</c:f>
              <c:numCache>
                <c:formatCode>0.0%</c:formatCode>
                <c:ptCount val="3"/>
                <c:pt idx="0">
                  <c:v>0.1</c:v>
                </c:pt>
                <c:pt idx="1">
                  <c:v>3.0000000000000027E-2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B6-2F46-AAEE-3008C7F9C5E8}"/>
            </c:ext>
          </c:extLst>
        </c:ser>
        <c:ser>
          <c:idx val="3"/>
          <c:order val="3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Dashboard_3!$S$37:$U$37</c:f>
              <c:numCache>
                <c:formatCode>0.0%</c:formatCode>
                <c:ptCount val="3"/>
                <c:pt idx="0">
                  <c:v>0.1</c:v>
                </c:pt>
                <c:pt idx="1">
                  <c:v>9.9999999999999978E-2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B6-2F46-AAEE-3008C7F9C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70943439"/>
        <c:axId val="1271548943"/>
      </c:barChart>
      <c:catAx>
        <c:axId val="1270943439"/>
        <c:scaling>
          <c:orientation val="minMax"/>
        </c:scaling>
        <c:delete val="1"/>
        <c:axPos val="l"/>
        <c:majorTickMark val="none"/>
        <c:minorTickMark val="none"/>
        <c:tickLblPos val="nextTo"/>
        <c:crossAx val="1271548943"/>
        <c:crossesAt val="0.01"/>
        <c:auto val="1"/>
        <c:lblAlgn val="ctr"/>
        <c:lblOffset val="100"/>
        <c:noMultiLvlLbl val="0"/>
      </c:catAx>
      <c:valAx>
        <c:axId val="1271548943"/>
        <c:scaling>
          <c:orientation val="minMax"/>
          <c:max val="1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943439"/>
        <c:crosses val="autoZero"/>
        <c:crossBetween val="between"/>
        <c:majorUnit val="0.1"/>
        <c:minorUnit val="0.0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87-BB41-BEB8-50B0CE6352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87-BB41-BEB8-50B0CE6352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Dashboard_3!$S$41:$U$41</c:f>
              <c:numCache>
                <c:formatCode>0.0%</c:formatCode>
                <c:ptCount val="3"/>
                <c:pt idx="0">
                  <c:v>0</c:v>
                </c:pt>
                <c:pt idx="1">
                  <c:v>0.79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87-BB41-BEB8-50B0CE63526F}"/>
            </c:ext>
          </c:extLst>
        </c:ser>
        <c:ser>
          <c:idx val="1"/>
          <c:order val="1"/>
          <c:spPr>
            <a:solidFill>
              <a:srgbClr val="ED9330"/>
            </a:solidFill>
            <a:ln>
              <a:noFill/>
            </a:ln>
            <a:effectLst/>
          </c:spPr>
          <c:invertIfNegative val="0"/>
          <c:val>
            <c:numRef>
              <c:f>Dashboard_3!$S$42:$U$42</c:f>
              <c:numCache>
                <c:formatCode>0.0%</c:formatCode>
                <c:ptCount val="3"/>
                <c:pt idx="0">
                  <c:v>0.8</c:v>
                </c:pt>
                <c:pt idx="1">
                  <c:v>1.0000000000000009E-2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87-BB41-BEB8-50B0CE63526F}"/>
            </c:ext>
          </c:extLst>
        </c:ser>
        <c:ser>
          <c:idx val="2"/>
          <c:order val="2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Dashboard_3!$S$43:$U$43</c:f>
              <c:numCache>
                <c:formatCode>0.0%</c:formatCode>
                <c:ptCount val="3"/>
                <c:pt idx="0">
                  <c:v>0.1</c:v>
                </c:pt>
                <c:pt idx="1">
                  <c:v>9.9999999999999978E-2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87-BB41-BEB8-50B0CE63526F}"/>
            </c:ext>
          </c:extLst>
        </c:ser>
        <c:ser>
          <c:idx val="3"/>
          <c:order val="3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Dashboard_3!$S$44:$U$44</c:f>
              <c:numCache>
                <c:formatCode>0.0%</c:formatCode>
                <c:ptCount val="3"/>
                <c:pt idx="0">
                  <c:v>0.1</c:v>
                </c:pt>
                <c:pt idx="1">
                  <c:v>9.9999999999999978E-2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87-BB41-BEB8-50B0CE635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70943439"/>
        <c:axId val="1271548943"/>
      </c:barChart>
      <c:catAx>
        <c:axId val="1270943439"/>
        <c:scaling>
          <c:orientation val="minMax"/>
        </c:scaling>
        <c:delete val="1"/>
        <c:axPos val="l"/>
        <c:majorTickMark val="none"/>
        <c:minorTickMark val="none"/>
        <c:tickLblPos val="nextTo"/>
        <c:crossAx val="1271548943"/>
        <c:crossesAt val="0.01"/>
        <c:auto val="1"/>
        <c:lblAlgn val="ctr"/>
        <c:lblOffset val="100"/>
        <c:noMultiLvlLbl val="0"/>
      </c:catAx>
      <c:valAx>
        <c:axId val="1271548943"/>
        <c:scaling>
          <c:orientation val="minMax"/>
          <c:max val="1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943439"/>
        <c:crosses val="autoZero"/>
        <c:crossBetween val="between"/>
        <c:majorUnit val="0.1"/>
        <c:minorUnit val="0.0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plotArea>
      <cx:plotAreaRegion>
        <cx:series layoutId="waterfall" uniqueId="{FF8EA8F9-7DFF-6848-92F2-520BD5020123}">
          <cx:dataLabels pos="outEnd">
            <cx:numFmt formatCode="$#," sourceLinked="0"/>
            <cx:visibility seriesName="0" categoryName="0" value="1"/>
          </cx:dataLabels>
          <cx:dataId val="0"/>
          <cx:layoutPr>
            <cx:subtotals>
              <cx:idx val="0"/>
              <cx:idx val="2"/>
              <cx:idx val="8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ckLabels/>
        <cx:numFmt formatCode="$#," sourceLinked="0"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orporatefinanceinstitute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7" Type="http://schemas.openxmlformats.org/officeDocument/2006/relationships/chart" Target="../charts/chart4.xml"/><Relationship Id="rId2" Type="http://schemas.openxmlformats.org/officeDocument/2006/relationships/image" Target="../media/image2.jpeg"/><Relationship Id="rId1" Type="http://schemas.openxmlformats.org/officeDocument/2006/relationships/hyperlink" Target="https://www.corporatefinanceinstitute.com/" TargetMode="Externa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714374</xdr:colOff>
      <xdr:row>3</xdr:row>
      <xdr:rowOff>19050</xdr:rowOff>
    </xdr:from>
    <xdr:ext cx="3446303" cy="154051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86C32-C5D7-4B35-8461-C1A34EFCF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294" y="745490"/>
          <a:ext cx="3446303" cy="154051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480060</xdr:colOff>
      <xdr:row>0</xdr:row>
      <xdr:rowOff>0</xdr:rowOff>
    </xdr:from>
    <xdr:to>
      <xdr:col>13</xdr:col>
      <xdr:colOff>682708</xdr:colOff>
      <xdr:row>1</xdr:row>
      <xdr:rowOff>190079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1DB672-19A3-417C-B525-76F78296F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3435" y="0"/>
          <a:ext cx="813160" cy="390104"/>
        </a:xfrm>
        <a:prstGeom prst="rect">
          <a:avLst/>
        </a:prstGeom>
      </xdr:spPr>
    </xdr:pic>
    <xdr:clientData/>
  </xdr:twoCellAnchor>
  <xdr:twoCellAnchor>
    <xdr:from>
      <xdr:col>1</xdr:col>
      <xdr:colOff>79375</xdr:colOff>
      <xdr:row>4</xdr:row>
      <xdr:rowOff>21710</xdr:rowOff>
    </xdr:from>
    <xdr:to>
      <xdr:col>13</xdr:col>
      <xdr:colOff>998632</xdr:colOff>
      <xdr:row>20</xdr:row>
      <xdr:rowOff>158749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DA0B67A-9A13-21A3-65E6-7B44D048EE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6127" y="1020342"/>
              <a:ext cx="9896095" cy="32957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43419</xdr:colOff>
      <xdr:row>22</xdr:row>
      <xdr:rowOff>54273</xdr:rowOff>
    </xdr:from>
    <xdr:to>
      <xdr:col>6</xdr:col>
      <xdr:colOff>716410</xdr:colOff>
      <xdr:row>35</xdr:row>
      <xdr:rowOff>193864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B83523-FB3A-A68F-B5A4-E722D51E1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974632</xdr:colOff>
      <xdr:row>22</xdr:row>
      <xdr:rowOff>0</xdr:rowOff>
    </xdr:from>
    <xdr:to>
      <xdr:col>13</xdr:col>
      <xdr:colOff>897468</xdr:colOff>
      <xdr:row>27</xdr:row>
      <xdr:rowOff>101601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E15568-8C51-7B85-AB89-1000034D5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981192</xdr:colOff>
      <xdr:row>26</xdr:row>
      <xdr:rowOff>67733</xdr:rowOff>
    </xdr:from>
    <xdr:to>
      <xdr:col>13</xdr:col>
      <xdr:colOff>897467</xdr:colOff>
      <xdr:row>31</xdr:row>
      <xdr:rowOff>77455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71A53B-4052-3A40-9419-78D4BEAA6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946070</xdr:colOff>
      <xdr:row>30</xdr:row>
      <xdr:rowOff>101600</xdr:rowOff>
    </xdr:from>
    <xdr:to>
      <xdr:col>13</xdr:col>
      <xdr:colOff>880534</xdr:colOff>
      <xdr:row>35</xdr:row>
      <xdr:rowOff>185325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014D53-4F38-8141-A347-A50CCD51A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14</xdr:col>
      <xdr:colOff>180309</xdr:colOff>
      <xdr:row>39</xdr:row>
      <xdr:rowOff>156790</xdr:rowOff>
    </xdr:from>
    <xdr:ext cx="184731" cy="26443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E557012-3F17-272E-DA71-0745D1CE6C4B}"/>
            </a:ext>
          </a:extLst>
        </xdr:cNvPr>
        <xdr:cNvSpPr txBox="1"/>
      </xdr:nvSpPr>
      <xdr:spPr>
        <a:xfrm>
          <a:off x="10591173" y="7910062"/>
          <a:ext cx="184731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7</xdr:col>
      <xdr:colOff>288807</xdr:colOff>
      <xdr:row>23</xdr:row>
      <xdr:rowOff>78709</xdr:rowOff>
    </xdr:from>
    <xdr:to>
      <xdr:col>8</xdr:col>
      <xdr:colOff>257450</xdr:colOff>
      <xdr:row>24</xdr:row>
      <xdr:rowOff>178741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D0644A8-2EA4-4478-95E1-10560F987F68}"/>
            </a:ext>
          </a:extLst>
        </xdr:cNvPr>
        <xdr:cNvSpPr txBox="1"/>
      </xdr:nvSpPr>
      <xdr:spPr>
        <a:xfrm>
          <a:off x="5131740" y="4752309"/>
          <a:ext cx="950777" cy="2862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>
              <a:solidFill>
                <a:schemeClr val="tx1">
                  <a:lumMod val="50000"/>
                  <a:lumOff val="50000"/>
                </a:schemeClr>
              </a:solidFill>
            </a:rPr>
            <a:t>Business 1</a:t>
          </a:r>
        </a:p>
        <a:p>
          <a:pPr algn="r"/>
          <a:endParaRPr lang="en-US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7</xdr:col>
      <xdr:colOff>385390</xdr:colOff>
      <xdr:row>27</xdr:row>
      <xdr:rowOff>138601</xdr:rowOff>
    </xdr:from>
    <xdr:to>
      <xdr:col>8</xdr:col>
      <xdr:colOff>252117</xdr:colOff>
      <xdr:row>28</xdr:row>
      <xdr:rowOff>183758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E64B436-1000-1947-90B8-32741B974529}"/>
            </a:ext>
          </a:extLst>
        </xdr:cNvPr>
        <xdr:cNvSpPr txBox="1"/>
      </xdr:nvSpPr>
      <xdr:spPr>
        <a:xfrm>
          <a:off x="5228323" y="5557268"/>
          <a:ext cx="848861" cy="2314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>
              <a:solidFill>
                <a:schemeClr val="tx1">
                  <a:lumMod val="50000"/>
                  <a:lumOff val="50000"/>
                </a:schemeClr>
              </a:solidFill>
            </a:rPr>
            <a:t>Business 2</a:t>
          </a:r>
        </a:p>
        <a:p>
          <a:pPr algn="r"/>
          <a:endParaRPr lang="en-US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7</xdr:col>
      <xdr:colOff>303231</xdr:colOff>
      <xdr:row>32</xdr:row>
      <xdr:rowOff>313</xdr:rowOff>
    </xdr:from>
    <xdr:to>
      <xdr:col>8</xdr:col>
      <xdr:colOff>256194</xdr:colOff>
      <xdr:row>33</xdr:row>
      <xdr:rowOff>72124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16666F1-3510-E540-B49C-BCAE17B533A4}"/>
            </a:ext>
          </a:extLst>
        </xdr:cNvPr>
        <xdr:cNvSpPr txBox="1"/>
      </xdr:nvSpPr>
      <xdr:spPr>
        <a:xfrm>
          <a:off x="5146164" y="6384180"/>
          <a:ext cx="935097" cy="2580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>
              <a:solidFill>
                <a:schemeClr val="tx1">
                  <a:lumMod val="50000"/>
                  <a:lumOff val="50000"/>
                </a:schemeClr>
              </a:solidFill>
            </a:rPr>
            <a:t>Business 3</a:t>
          </a:r>
        </a:p>
        <a:p>
          <a:pPr algn="r"/>
          <a:endParaRPr lang="en-US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47EF-CB74-48DE-BC91-5651DD8F986E}">
  <dimension ref="B1:O46"/>
  <sheetViews>
    <sheetView showGridLines="0" zoomScaleNormal="100" workbookViewId="0"/>
  </sheetViews>
  <sheetFormatPr baseColWidth="10" defaultColWidth="9.1640625" defaultRowHeight="14" x14ac:dyDescent="0.15"/>
  <cols>
    <col min="1" max="2" width="11" style="29" customWidth="1"/>
    <col min="3" max="3" width="33.1640625" style="29" customWidth="1"/>
    <col min="4" max="22" width="11" style="29" customWidth="1"/>
    <col min="23" max="25" width="9.1640625" style="29"/>
    <col min="26" max="26" width="9.1640625" style="29" customWidth="1"/>
    <col min="27" max="16384" width="9.1640625" style="29"/>
  </cols>
  <sheetData>
    <row r="1" spans="2:15" ht="19.5" customHeight="1" x14ac:dyDescent="0.15"/>
    <row r="2" spans="2:15" ht="19.5" customHeight="1" x14ac:dyDescent="0.15"/>
    <row r="3" spans="2:15" ht="19.5" customHeight="1" x14ac:dyDescent="0.1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2:15" ht="19.5" customHeight="1" x14ac:dyDescent="0.15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2:15" ht="19.5" customHeight="1" x14ac:dyDescent="0.15"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spans="2:15" ht="19.5" customHeight="1" x14ac:dyDescent="0.15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pans="2:15" ht="19.5" customHeight="1" x14ac:dyDescent="0.15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pans="2:15" ht="19.5" customHeight="1" x14ac:dyDescent="0.15"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spans="2:15" ht="19.5" customHeight="1" x14ac:dyDescent="0.15"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2:15" ht="19.5" customHeight="1" x14ac:dyDescent="0.15"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spans="2:15" ht="19.5" customHeight="1" x14ac:dyDescent="0.15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spans="2:15" ht="28" x14ac:dyDescent="0.3">
      <c r="B12" s="30"/>
      <c r="C12" s="31" t="s">
        <v>38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2" t="s">
        <v>28</v>
      </c>
      <c r="O12" s="30"/>
    </row>
    <row r="13" spans="2:15" ht="19.5" customHeight="1" x14ac:dyDescent="0.15">
      <c r="B13" s="30"/>
      <c r="C13" s="33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</row>
    <row r="14" spans="2:15" ht="19.5" customHeight="1" x14ac:dyDescent="0.15">
      <c r="B14" s="30"/>
      <c r="C14" s="34" t="s">
        <v>29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2:15" ht="19.5" customHeight="1" x14ac:dyDescent="0.2">
      <c r="B15" s="30"/>
      <c r="C15" s="35" t="str">
        <f ca="1">RIGHT(CELL("filename",Dashboard_3!A1),LEN(CELL("filename",Dashboard_3!A1))-FIND("]",CELL("filename",Dashboard_3!A1)))</f>
        <v>Dashboard_3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spans="2:15" ht="19.5" customHeight="1" x14ac:dyDescent="0.2">
      <c r="B16" s="30"/>
      <c r="C16" s="36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</row>
    <row r="17" spans="2:15" ht="19.5" customHeight="1" x14ac:dyDescent="0.2">
      <c r="B17" s="30"/>
      <c r="C17" s="36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</row>
    <row r="18" spans="2:15" ht="19.5" customHeight="1" x14ac:dyDescent="0.15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</row>
    <row r="19" spans="2:15" ht="19.5" customHeight="1" x14ac:dyDescent="0.15">
      <c r="B19" s="30"/>
      <c r="C19" s="30" t="s">
        <v>30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</row>
    <row r="20" spans="2:15" ht="19.5" customHeight="1" x14ac:dyDescent="0.15">
      <c r="B20" s="30"/>
      <c r="C20" s="37" t="s">
        <v>31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0"/>
    </row>
    <row r="21" spans="2:15" ht="19.5" customHeight="1" x14ac:dyDescent="0.15">
      <c r="B21" s="30"/>
      <c r="C21" s="30" t="s">
        <v>32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 spans="2:15" ht="19.5" customHeight="1" x14ac:dyDescent="0.15">
      <c r="B22" s="30"/>
      <c r="C22" s="38" t="s">
        <v>33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spans="2:15" ht="19.5" customHeight="1" x14ac:dyDescent="0.15">
      <c r="B23" s="30"/>
      <c r="C23" s="3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spans="2:15" ht="19.5" customHeight="1" x14ac:dyDescent="0.15">
      <c r="B24" s="30"/>
      <c r="C24" s="39" t="s">
        <v>34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30"/>
    </row>
    <row r="25" spans="2:15" ht="19.5" customHeight="1" x14ac:dyDescent="0.15">
      <c r="B25" s="41"/>
      <c r="C25" s="39" t="s">
        <v>35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41"/>
    </row>
    <row r="26" spans="2:15" ht="19.5" customHeight="1" x14ac:dyDescent="0.15">
      <c r="B26" s="41"/>
      <c r="C26" s="39" t="s">
        <v>36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41"/>
    </row>
    <row r="27" spans="2:15" ht="19.5" customHeight="1" x14ac:dyDescent="0.15">
      <c r="B27" s="41"/>
      <c r="C27" s="39" t="s">
        <v>37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41"/>
    </row>
    <row r="28" spans="2:15" ht="19.5" customHeight="1" x14ac:dyDescent="0.15">
      <c r="B28" s="41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41"/>
    </row>
    <row r="29" spans="2:15" ht="19.5" customHeight="1" x14ac:dyDescent="0.15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2:15" ht="19.5" customHeight="1" x14ac:dyDescent="0.15"/>
    <row r="31" spans="2:15" ht="19.5" customHeight="1" x14ac:dyDescent="0.15"/>
    <row r="32" spans="2:15" ht="19.5" customHeight="1" x14ac:dyDescent="0.15"/>
    <row r="33" ht="19.5" customHeight="1" x14ac:dyDescent="0.15"/>
    <row r="34" ht="19.5" customHeight="1" x14ac:dyDescent="0.15"/>
    <row r="35" ht="19.5" customHeight="1" x14ac:dyDescent="0.15"/>
    <row r="36" ht="19.5" customHeight="1" x14ac:dyDescent="0.15"/>
    <row r="37" ht="19.5" customHeight="1" x14ac:dyDescent="0.15"/>
    <row r="38" ht="19.5" customHeight="1" x14ac:dyDescent="0.15"/>
    <row r="39" ht="19.5" customHeight="1" x14ac:dyDescent="0.15"/>
    <row r="40" ht="19.5" customHeight="1" x14ac:dyDescent="0.15"/>
    <row r="41" ht="19.5" customHeight="1" x14ac:dyDescent="0.15"/>
    <row r="42" ht="19.5" customHeight="1" x14ac:dyDescent="0.15"/>
    <row r="43" ht="19.5" customHeight="1" x14ac:dyDescent="0.15"/>
    <row r="44" ht="19.5" customHeight="1" x14ac:dyDescent="0.15"/>
    <row r="45" ht="19.5" customHeight="1" x14ac:dyDescent="0.15"/>
    <row r="46" ht="19.5" customHeight="1" x14ac:dyDescent="0.15"/>
  </sheetData>
  <hyperlinks>
    <hyperlink ref="C15" location="Dashboard_3!A1" display="Dashboard_3!A1" xr:uid="{EDBC8168-C39C-4229-ADED-96E956472688}"/>
    <hyperlink ref="C22" r:id="rId1" xr:uid="{CA78A4AA-04FE-418D-B3DC-0B70BFC536A2}"/>
  </hyperlinks>
  <pageMargins left="0.7" right="0.7" top="0.75" bottom="0.75" header="0.3" footer="0.3"/>
  <pageSetup scale="6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D45"/>
  <sheetViews>
    <sheetView showGridLines="0" tabSelected="1" topLeftCell="B4" zoomScale="75" zoomScaleNormal="80" zoomScaleSheetLayoutView="100" workbookViewId="0">
      <selection activeCell="L40" sqref="L40"/>
    </sheetView>
  </sheetViews>
  <sheetFormatPr baseColWidth="10" defaultColWidth="8.83203125" defaultRowHeight="15" x14ac:dyDescent="0.2"/>
  <cols>
    <col min="1" max="1" width="6.1640625" style="2" customWidth="1"/>
    <col min="2" max="7" width="9.5" style="2" customWidth="1"/>
    <col min="8" max="8" width="12.83203125" style="2" customWidth="1"/>
    <col min="9" max="13" width="9.5" style="2" customWidth="1"/>
    <col min="14" max="14" width="13.5" style="2" customWidth="1"/>
    <col min="15" max="15" width="7.5" style="2" customWidth="1"/>
    <col min="16" max="17" width="9.1640625" style="2" customWidth="1"/>
    <col min="18" max="18" width="10.1640625" style="2" customWidth="1"/>
    <col min="19" max="30" width="13.83203125" style="2" customWidth="1"/>
    <col min="31" max="31" width="9" style="2" customWidth="1"/>
    <col min="32" max="16384" width="8.83203125" style="2"/>
  </cols>
  <sheetData>
    <row r="1" spans="2:26" ht="15.75" customHeight="1" x14ac:dyDescent="0.2">
      <c r="B1" s="25" t="s">
        <v>26</v>
      </c>
      <c r="D1" s="1"/>
    </row>
    <row r="2" spans="2:26" ht="24" thickBot="1" x14ac:dyDescent="0.35">
      <c r="B2" s="26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2:26" ht="16.25" customHeight="1" x14ac:dyDescent="0.2">
      <c r="R3" s="5" t="s">
        <v>1</v>
      </c>
      <c r="S3" s="5"/>
      <c r="T3" s="5"/>
      <c r="U3" s="5"/>
      <c r="V3" s="5"/>
      <c r="W3" s="5"/>
      <c r="X3" s="5"/>
      <c r="Y3" s="5"/>
    </row>
    <row r="4" spans="2:26" ht="23.25" customHeight="1" x14ac:dyDescent="0.2">
      <c r="B4" s="27" t="s">
        <v>22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U4" s="6"/>
      <c r="V4" s="6"/>
      <c r="W4" s="6"/>
      <c r="X4" s="6"/>
      <c r="Y4" s="6"/>
    </row>
    <row r="5" spans="2:26" ht="15.5" customHeight="1" x14ac:dyDescent="0.2">
      <c r="L5" s="6"/>
      <c r="M5" s="6"/>
      <c r="N5" s="6"/>
      <c r="U5" s="7">
        <v>2014</v>
      </c>
      <c r="V5" s="7">
        <v>2015</v>
      </c>
      <c r="W5" s="7">
        <v>2016</v>
      </c>
      <c r="X5" s="7">
        <v>2017</v>
      </c>
      <c r="Y5" s="7">
        <v>2018</v>
      </c>
    </row>
    <row r="6" spans="2:26" ht="15.5" customHeight="1" x14ac:dyDescent="0.2">
      <c r="L6" s="6"/>
      <c r="M6" s="6"/>
      <c r="N6" s="6"/>
      <c r="U6" s="12"/>
      <c r="V6" s="12"/>
      <c r="W6" s="12"/>
      <c r="X6" s="12"/>
      <c r="Y6" s="12"/>
    </row>
    <row r="7" spans="2:26" ht="15.5" customHeight="1" x14ac:dyDescent="0.2">
      <c r="L7" s="6"/>
      <c r="M7" s="6"/>
      <c r="N7" s="6"/>
      <c r="R7" s="2" t="s">
        <v>11</v>
      </c>
      <c r="U7" s="9">
        <v>28413.537599999996</v>
      </c>
      <c r="V7" s="9">
        <v>74216.200493633907</v>
      </c>
      <c r="W7" s="9">
        <v>102016.03165539398</v>
      </c>
      <c r="X7" s="9">
        <v>116562.23707078592</v>
      </c>
      <c r="Y7" s="9">
        <v>119940.55427574085</v>
      </c>
      <c r="Z7" s="9"/>
    </row>
    <row r="8" spans="2:26" ht="15.5" customHeight="1" x14ac:dyDescent="0.2">
      <c r="L8" s="6"/>
      <c r="N8" s="6"/>
      <c r="R8" s="2" t="s">
        <v>12</v>
      </c>
      <c r="U8" s="9">
        <v>-65000</v>
      </c>
      <c r="V8" s="9">
        <v>-46700</v>
      </c>
      <c r="W8" s="9">
        <v>-49100</v>
      </c>
      <c r="X8" s="9">
        <v>-101000</v>
      </c>
      <c r="Y8" s="9">
        <v>-121000</v>
      </c>
    </row>
    <row r="9" spans="2:26" ht="15.5" customHeight="1" x14ac:dyDescent="0.2">
      <c r="L9" s="6"/>
      <c r="M9" s="6"/>
      <c r="N9" s="6"/>
      <c r="R9" s="2" t="s">
        <v>13</v>
      </c>
      <c r="U9" s="10">
        <v>100000</v>
      </c>
      <c r="V9" s="10">
        <v>0</v>
      </c>
      <c r="W9" s="10">
        <v>-60000</v>
      </c>
      <c r="X9" s="10">
        <v>47800</v>
      </c>
      <c r="Y9" s="10">
        <v>0</v>
      </c>
    </row>
    <row r="10" spans="2:26" ht="15.5" customHeight="1" x14ac:dyDescent="0.2">
      <c r="R10" s="2" t="s">
        <v>27</v>
      </c>
      <c r="U10" s="3">
        <f>SUM(U7:U9)</f>
        <v>63413.537599999996</v>
      </c>
      <c r="V10" s="3">
        <f t="shared" ref="V10:Y10" si="0">SUM(V7:V9)</f>
        <v>27516.200493633907</v>
      </c>
      <c r="W10" s="3">
        <f t="shared" si="0"/>
        <v>-7083.9683446060226</v>
      </c>
      <c r="X10" s="3">
        <f t="shared" si="0"/>
        <v>63362.237070785923</v>
      </c>
      <c r="Y10" s="3">
        <f t="shared" si="0"/>
        <v>-1059.4457242591452</v>
      </c>
    </row>
    <row r="11" spans="2:26" ht="15.5" customHeight="1" x14ac:dyDescent="0.2">
      <c r="R11" s="2" t="s">
        <v>20</v>
      </c>
      <c r="T11" s="28">
        <v>0</v>
      </c>
      <c r="U11" s="24">
        <f>+T11+U10</f>
        <v>63413.537599999996</v>
      </c>
      <c r="V11" s="24">
        <f t="shared" ref="V11:Y11" si="1">+U11+V10</f>
        <v>90929.738093633903</v>
      </c>
      <c r="W11" s="24">
        <f t="shared" si="1"/>
        <v>83845.769749027881</v>
      </c>
      <c r="X11" s="24">
        <f t="shared" si="1"/>
        <v>147208.0068198138</v>
      </c>
      <c r="Y11" s="24">
        <f t="shared" si="1"/>
        <v>146148.56109555467</v>
      </c>
    </row>
    <row r="12" spans="2:26" ht="16.25" customHeight="1" x14ac:dyDescent="0.2">
      <c r="R12" s="8"/>
    </row>
    <row r="13" spans="2:26" ht="16.25" customHeight="1" x14ac:dyDescent="0.2">
      <c r="B13" s="11"/>
      <c r="R13" s="13" t="s">
        <v>22</v>
      </c>
      <c r="U13" s="14"/>
      <c r="V13" s="14"/>
      <c r="W13" s="14"/>
      <c r="X13" s="14"/>
      <c r="Y13" s="14"/>
    </row>
    <row r="14" spans="2:26" ht="16.25" customHeight="1" x14ac:dyDescent="0.2"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R14" s="2" t="s">
        <v>3</v>
      </c>
      <c r="U14" s="15">
        <v>452316</v>
      </c>
      <c r="V14"/>
      <c r="W14" s="16"/>
      <c r="X14" s="14"/>
    </row>
    <row r="15" spans="2:26" ht="15.5" customHeight="1" x14ac:dyDescent="0.2">
      <c r="R15" s="17" t="s">
        <v>9</v>
      </c>
      <c r="U15" s="15">
        <v>-170130</v>
      </c>
    </row>
    <row r="16" spans="2:26" ht="15.5" customHeight="1" x14ac:dyDescent="0.2">
      <c r="R16" s="17" t="s">
        <v>4</v>
      </c>
      <c r="U16" s="15">
        <v>282186</v>
      </c>
    </row>
    <row r="17" spans="2:30" ht="15.5" customHeight="1" x14ac:dyDescent="0.2">
      <c r="R17" s="2" t="s">
        <v>7</v>
      </c>
      <c r="U17" s="15">
        <v>-85735</v>
      </c>
      <c r="V17" s="14"/>
      <c r="W17" s="14"/>
      <c r="X17" s="14"/>
    </row>
    <row r="18" spans="2:30" ht="15.5" customHeight="1" x14ac:dyDescent="0.2">
      <c r="R18" s="2" t="s">
        <v>8</v>
      </c>
      <c r="U18" s="15">
        <v>-39236</v>
      </c>
      <c r="V18" s="14"/>
      <c r="W18" s="14"/>
      <c r="X18" s="14"/>
      <c r="Z18" s="14"/>
      <c r="AA18" s="14"/>
      <c r="AB18" s="14"/>
      <c r="AC18" s="14"/>
      <c r="AD18" s="14"/>
    </row>
    <row r="19" spans="2:30" ht="15.5" customHeight="1" x14ac:dyDescent="0.2">
      <c r="R19" s="2" t="s">
        <v>10</v>
      </c>
      <c r="U19" s="15">
        <v>-48241.35</v>
      </c>
      <c r="V19" s="14"/>
      <c r="W19" s="14"/>
      <c r="X19" s="14"/>
      <c r="Z19" s="14"/>
      <c r="AA19" s="14"/>
      <c r="AB19" s="14"/>
      <c r="AC19" s="14"/>
      <c r="AD19" s="14"/>
    </row>
    <row r="20" spans="2:30" ht="15.5" customHeight="1" x14ac:dyDescent="0.2">
      <c r="R20" s="2" t="s">
        <v>2</v>
      </c>
      <c r="U20" s="15">
        <v>-4500</v>
      </c>
      <c r="V20" s="14"/>
      <c r="W20" s="14"/>
      <c r="X20" s="14"/>
    </row>
    <row r="21" spans="2:30" ht="15.5" customHeight="1" x14ac:dyDescent="0.2">
      <c r="B21" s="11"/>
      <c r="R21" s="2" t="s">
        <v>5</v>
      </c>
      <c r="U21" s="15">
        <v>-30292.995724259199</v>
      </c>
    </row>
    <row r="22" spans="2:30" ht="23.25" customHeight="1" x14ac:dyDescent="0.2">
      <c r="B22" s="27" t="s">
        <v>39</v>
      </c>
      <c r="C22" s="27"/>
      <c r="D22" s="27"/>
      <c r="E22" s="27"/>
      <c r="F22" s="27"/>
      <c r="G22" s="27"/>
      <c r="I22" s="27" t="s">
        <v>21</v>
      </c>
      <c r="J22" s="27"/>
      <c r="K22" s="27"/>
      <c r="L22" s="27"/>
      <c r="M22" s="27"/>
      <c r="N22" s="27"/>
      <c r="O22" s="6"/>
      <c r="R22" s="2" t="s">
        <v>6</v>
      </c>
      <c r="U22" s="15">
        <v>74180.654275740846</v>
      </c>
      <c r="Z22" s="14"/>
      <c r="AA22" s="14"/>
      <c r="AB22" s="14"/>
      <c r="AC22" s="14"/>
      <c r="AD22" s="14"/>
    </row>
    <row r="23" spans="2:30" ht="15.5" customHeight="1" x14ac:dyDescent="0.2">
      <c r="AA23" s="14"/>
      <c r="AB23" s="14"/>
      <c r="AC23" s="14"/>
      <c r="AD23" s="14"/>
    </row>
    <row r="24" spans="2:30" ht="15.5" customHeight="1" x14ac:dyDescent="0.2">
      <c r="AA24" s="14"/>
      <c r="AB24" s="14"/>
      <c r="AC24" s="14"/>
      <c r="AD24" s="14"/>
    </row>
    <row r="25" spans="2:30" ht="15.5" customHeight="1" x14ac:dyDescent="0.2">
      <c r="R25" s="8" t="s">
        <v>21</v>
      </c>
    </row>
    <row r="26" spans="2:30" ht="15.5" customHeight="1" x14ac:dyDescent="0.2">
      <c r="R26" s="23" t="s">
        <v>23</v>
      </c>
      <c r="S26" s="22" t="s">
        <v>15</v>
      </c>
      <c r="T26" s="22" t="s">
        <v>14</v>
      </c>
      <c r="U26" s="22" t="s">
        <v>15</v>
      </c>
    </row>
    <row r="27" spans="2:30" ht="15.5" customHeight="1" x14ac:dyDescent="0.2">
      <c r="S27" s="18">
        <v>0</v>
      </c>
      <c r="T27" s="19">
        <v>0.74</v>
      </c>
      <c r="U27" s="18">
        <f>S27</f>
        <v>0</v>
      </c>
    </row>
    <row r="28" spans="2:30" ht="15.5" customHeight="1" x14ac:dyDescent="0.2">
      <c r="R28" s="2" t="s">
        <v>16</v>
      </c>
      <c r="S28" s="19">
        <v>0.8</v>
      </c>
      <c r="T28" s="18">
        <f>IF(S28&gt;T27,S28-T27,0)</f>
        <v>6.0000000000000053E-2</v>
      </c>
      <c r="U28" s="18">
        <f t="shared" ref="U28:U30" si="2">S28</f>
        <v>0.8</v>
      </c>
    </row>
    <row r="29" spans="2:30" ht="15.5" customHeight="1" x14ac:dyDescent="0.2">
      <c r="R29" s="2" t="s">
        <v>17</v>
      </c>
      <c r="S29" s="19">
        <v>0.1</v>
      </c>
      <c r="T29" s="18">
        <f>IF(SUM(S28:S29)&gt;SUM(T27:T28),SUM(S28:S29)-SUM(T27:T28),0)</f>
        <v>9.9999999999999978E-2</v>
      </c>
      <c r="U29" s="18">
        <f t="shared" si="2"/>
        <v>0.1</v>
      </c>
    </row>
    <row r="30" spans="2:30" ht="16.25" customHeight="1" x14ac:dyDescent="0.2">
      <c r="R30" s="2" t="s">
        <v>18</v>
      </c>
      <c r="S30" s="20">
        <v>0.1</v>
      </c>
      <c r="T30" s="21">
        <f>IF(S31&gt;SUM(T27:T29),S31-SUM(T27:T29),0)</f>
        <v>9.9999999999999978E-2</v>
      </c>
      <c r="U30" s="21">
        <f t="shared" si="2"/>
        <v>0.1</v>
      </c>
    </row>
    <row r="31" spans="2:30" ht="16.25" customHeight="1" x14ac:dyDescent="0.2">
      <c r="R31" s="2" t="s">
        <v>19</v>
      </c>
      <c r="S31" s="18">
        <f>SUM(S27:S30)</f>
        <v>1</v>
      </c>
      <c r="T31" s="18">
        <f>SUM(T27:T30)</f>
        <v>1</v>
      </c>
      <c r="U31" s="18">
        <f>SUM(U27:U30)</f>
        <v>1</v>
      </c>
    </row>
    <row r="32" spans="2:30" ht="15.5" customHeight="1" x14ac:dyDescent="0.2"/>
    <row r="33" spans="2:30" ht="15.5" customHeight="1" x14ac:dyDescent="0.2">
      <c r="R33" s="23" t="s">
        <v>24</v>
      </c>
      <c r="S33" s="22" t="s">
        <v>15</v>
      </c>
      <c r="T33" s="22" t="s">
        <v>14</v>
      </c>
      <c r="U33" s="22" t="s">
        <v>15</v>
      </c>
    </row>
    <row r="34" spans="2:30" ht="15.5" customHeight="1" x14ac:dyDescent="0.2">
      <c r="S34" s="18">
        <v>0</v>
      </c>
      <c r="T34" s="19">
        <v>0.87</v>
      </c>
      <c r="U34" s="18">
        <f>S34</f>
        <v>0</v>
      </c>
      <c r="Z34" s="14"/>
    </row>
    <row r="35" spans="2:30" ht="15.5" customHeight="1" x14ac:dyDescent="0.2">
      <c r="R35" s="2" t="s">
        <v>16</v>
      </c>
      <c r="S35" s="19">
        <v>0.8</v>
      </c>
      <c r="T35" s="18">
        <f>IF(S35&gt;T34,S35-T34,0)</f>
        <v>0</v>
      </c>
      <c r="U35" s="18">
        <f t="shared" ref="U35:U37" si="3">S35</f>
        <v>0.8</v>
      </c>
    </row>
    <row r="36" spans="2:30" ht="15.5" customHeight="1" x14ac:dyDescent="0.2">
      <c r="R36" s="2" t="s">
        <v>17</v>
      </c>
      <c r="S36" s="19">
        <v>0.1</v>
      </c>
      <c r="T36" s="18">
        <f>IF(SUM(S35:S36)&gt;SUM(T34:T35),SUM(S35:S36)-SUM(T34:T35),0)</f>
        <v>3.0000000000000027E-2</v>
      </c>
      <c r="U36" s="18">
        <f t="shared" si="3"/>
        <v>0.1</v>
      </c>
    </row>
    <row r="37" spans="2:30" ht="15.5" customHeight="1" x14ac:dyDescent="0.2">
      <c r="R37" s="2" t="s">
        <v>18</v>
      </c>
      <c r="S37" s="20">
        <v>0.1</v>
      </c>
      <c r="T37" s="21">
        <f>IF(S38&gt;SUM(T34:T36),S38-SUM(T34:T36),0)</f>
        <v>9.9999999999999978E-2</v>
      </c>
      <c r="U37" s="21">
        <f t="shared" si="3"/>
        <v>0.1</v>
      </c>
    </row>
    <row r="38" spans="2:30" ht="15.5" customHeight="1" x14ac:dyDescent="0.2">
      <c r="R38" s="2" t="s">
        <v>19</v>
      </c>
      <c r="S38" s="18">
        <f>SUM(S34:S37)</f>
        <v>1</v>
      </c>
      <c r="T38" s="18">
        <f>SUM(T34:T37)</f>
        <v>1</v>
      </c>
      <c r="U38" s="18">
        <f>SUM(U34:U37)</f>
        <v>1</v>
      </c>
    </row>
    <row r="40" spans="2:30" ht="23.25" customHeight="1" x14ac:dyDescent="0.2">
      <c r="B40"/>
      <c r="C40"/>
      <c r="D40"/>
      <c r="E40"/>
      <c r="F40"/>
      <c r="G40"/>
      <c r="H40"/>
      <c r="I40"/>
      <c r="O40" s="6"/>
      <c r="R40" s="23" t="s">
        <v>25</v>
      </c>
      <c r="S40" s="22" t="s">
        <v>15</v>
      </c>
      <c r="T40" s="22" t="s">
        <v>14</v>
      </c>
      <c r="U40" s="22" t="s">
        <v>15</v>
      </c>
      <c r="AA40" s="14"/>
      <c r="AB40" s="14"/>
      <c r="AC40" s="14"/>
      <c r="AD40" s="14"/>
    </row>
    <row r="41" spans="2:30" x14ac:dyDescent="0.2">
      <c r="S41" s="18">
        <v>0</v>
      </c>
      <c r="T41" s="19">
        <v>0.79</v>
      </c>
      <c r="U41" s="18">
        <f>S41</f>
        <v>0</v>
      </c>
    </row>
    <row r="42" spans="2:30" x14ac:dyDescent="0.2">
      <c r="R42" s="2" t="s">
        <v>16</v>
      </c>
      <c r="S42" s="19">
        <v>0.8</v>
      </c>
      <c r="T42" s="18">
        <f>IF(S42&gt;T41,S42-T41,0)</f>
        <v>1.0000000000000009E-2</v>
      </c>
      <c r="U42" s="18">
        <f t="shared" ref="U42:U44" si="4">S42</f>
        <v>0.8</v>
      </c>
    </row>
    <row r="43" spans="2:30" x14ac:dyDescent="0.2">
      <c r="R43" s="2" t="s">
        <v>17</v>
      </c>
      <c r="S43" s="19">
        <v>0.1</v>
      </c>
      <c r="T43" s="18">
        <f>IF(SUM(S42:S43)&gt;SUM(T41:T42),SUM(S42:S43)-SUM(T41:T42),0)</f>
        <v>9.9999999999999978E-2</v>
      </c>
      <c r="U43" s="18">
        <f t="shared" si="4"/>
        <v>0.1</v>
      </c>
    </row>
    <row r="44" spans="2:30" x14ac:dyDescent="0.2">
      <c r="R44" s="2" t="s">
        <v>18</v>
      </c>
      <c r="S44" s="20">
        <v>0.1</v>
      </c>
      <c r="T44" s="21">
        <f>IF(S45&gt;SUM(T41:T43),S45-SUM(T41:T43),0)</f>
        <v>9.9999999999999978E-2</v>
      </c>
      <c r="U44" s="21">
        <f t="shared" si="4"/>
        <v>0.1</v>
      </c>
    </row>
    <row r="45" spans="2:30" x14ac:dyDescent="0.2">
      <c r="R45" s="2" t="s">
        <v>19</v>
      </c>
      <c r="S45" s="18">
        <f>SUM(S41:S44)</f>
        <v>1</v>
      </c>
      <c r="T45" s="18">
        <f>SUM(T41:T44)</f>
        <v>1</v>
      </c>
      <c r="U45" s="18">
        <f>SUM(U41:U44)</f>
        <v>1</v>
      </c>
    </row>
  </sheetData>
  <pageMargins left="0.5" right="0.5" top="0.5" bottom="0.5" header="0.3" footer="0.3"/>
  <pageSetup scale="82" orientation="landscape" r:id="rId1"/>
  <ignoredErrors>
    <ignoredError sqref="T29 T43:T44 T3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 Page</vt:lpstr>
      <vt:lpstr>Dashboard_3</vt:lpstr>
      <vt:lpstr>'Cover Page'!Print_Area</vt:lpstr>
      <vt:lpstr>Dashboard_3!Print_Area</vt:lpstr>
    </vt:vector>
  </TitlesOfParts>
  <Company>Onlineshoes.com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Shravani Goud Dindu</cp:lastModifiedBy>
  <cp:lastPrinted>2018-06-28T23:22:30Z</cp:lastPrinted>
  <dcterms:created xsi:type="dcterms:W3CDTF">2016-03-28T18:22:40Z</dcterms:created>
  <dcterms:modified xsi:type="dcterms:W3CDTF">2025-08-07T23:20:00Z</dcterms:modified>
</cp:coreProperties>
</file>