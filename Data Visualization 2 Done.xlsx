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/>
  <mc:AlternateContent xmlns:mc="http://schemas.openxmlformats.org/markup-compatibility/2006">
    <mc:Choice Requires="x15">
      <x15ac:absPath xmlns:x15ac="http://schemas.microsoft.com/office/spreadsheetml/2010/11/ac" url="/Users/shravanigouddindu/Downloads/"/>
    </mc:Choice>
  </mc:AlternateContent>
  <xr:revisionPtr revIDLastSave="0" documentId="13_ncr:1_{D2D8A1F9-2F87-3E42-943C-037008825551}" xr6:coauthVersionLast="47" xr6:coauthVersionMax="47" xr10:uidLastSave="{00000000-0000-0000-0000-000000000000}"/>
  <bookViews>
    <workbookView xWindow="0" yWindow="740" windowWidth="29400" windowHeight="18380" tabRatio="634" activeTab="1" xr2:uid="{00000000-000D-0000-FFFF-FFFF00000000}"/>
  </bookViews>
  <sheets>
    <sheet name="Cover Page" sheetId="6" r:id="rId1"/>
    <sheet name="Dashboard_2" sheetId="5" r:id="rId2"/>
  </sheets>
  <definedNames>
    <definedName name="_xlchart.v1.0" hidden="1">Dashboard_2!$Q$7:$Q$10</definedName>
    <definedName name="_xlchart.v1.1" hidden="1">Dashboard_2!$X$7:$X$10</definedName>
    <definedName name="_xlchart.v1.2" hidden="1">Dashboard_2!$X$7:$X$10</definedName>
    <definedName name="CIQWBGuid" localSheetId="0" hidden="1">"2cd8126d-26c3-430c-b7fa-a069e3a1fc62"</definedName>
    <definedName name="CIQWBGuid" hidden="1">"3a76856e-063b-4329-b2c5-ae285df6792b"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localSheetId="0" hidden="1">41666.7099189815</definedName>
    <definedName name="IQ_NAMES_REVISION_DATE_" hidden="1">41887.7188541667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'Cover Page'!$A$1:$P$26</definedName>
    <definedName name="_xlnm.Print_Area" localSheetId="1">Dashboard_2!$B$1:$M$51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1" i="5" l="1"/>
  <c r="M46" i="5"/>
  <c r="M45" i="5"/>
  <c r="M44" i="5"/>
  <c r="H46" i="5"/>
  <c r="H45" i="5"/>
  <c r="H44" i="5"/>
  <c r="H43" i="5"/>
  <c r="F51" i="5"/>
  <c r="F50" i="5"/>
  <c r="F49" i="5"/>
  <c r="F48" i="5"/>
  <c r="F47" i="5"/>
  <c r="F46" i="5"/>
  <c r="F43" i="5"/>
  <c r="F44" i="5"/>
  <c r="M40" i="5"/>
  <c r="M38" i="5"/>
  <c r="M36" i="5"/>
  <c r="M34" i="5"/>
  <c r="M32" i="5"/>
  <c r="L40" i="5"/>
  <c r="L38" i="5"/>
  <c r="L36" i="5"/>
  <c r="L34" i="5"/>
  <c r="L32" i="5"/>
  <c r="K40" i="5"/>
  <c r="K38" i="5"/>
  <c r="K36" i="5"/>
  <c r="K34" i="5"/>
  <c r="K32" i="5"/>
  <c r="J40" i="5"/>
  <c r="J38" i="5"/>
  <c r="J36" i="5"/>
  <c r="J34" i="5"/>
  <c r="J32" i="5"/>
  <c r="D40" i="5"/>
  <c r="D38" i="5"/>
  <c r="D36" i="5"/>
  <c r="D34" i="5"/>
  <c r="D32" i="5"/>
  <c r="C15" i="6"/>
  <c r="U10" i="5" l="1"/>
  <c r="X41" i="5"/>
  <c r="AC24" i="5"/>
  <c r="AC16" i="5" s="1"/>
  <c r="AC17" i="5" s="1"/>
  <c r="AB24" i="5"/>
  <c r="AA24" i="5"/>
  <c r="AA16" i="5" s="1"/>
  <c r="AA17" i="5" s="1"/>
  <c r="Z24" i="5"/>
  <c r="Z16" i="5" s="1"/>
  <c r="Z17" i="5" s="1"/>
  <c r="Y24" i="5"/>
  <c r="Y16" i="5" s="1"/>
  <c r="Y17" i="5" s="1"/>
  <c r="X24" i="5"/>
  <c r="W24" i="5"/>
  <c r="V24" i="5"/>
  <c r="U24" i="5"/>
  <c r="U14" i="5" s="1"/>
  <c r="U15" i="5" s="1"/>
  <c r="T24" i="5"/>
  <c r="X31" i="5"/>
  <c r="AC10" i="5"/>
  <c r="AB10" i="5"/>
  <c r="AA10" i="5"/>
  <c r="Z10" i="5"/>
  <c r="Y10" i="5"/>
  <c r="X10" i="5"/>
  <c r="X14" i="5" s="1"/>
  <c r="X15" i="5" s="1"/>
  <c r="W10" i="5"/>
  <c r="W14" i="5" s="1"/>
  <c r="W15" i="5" s="1"/>
  <c r="V10" i="5"/>
  <c r="V14" i="5" s="1"/>
  <c r="V15" i="5" s="1"/>
  <c r="T10" i="5"/>
  <c r="T14" i="5"/>
  <c r="T15" i="5" s="1"/>
  <c r="X46" i="5"/>
  <c r="AB16" i="5" l="1"/>
  <c r="AB17" i="5" s="1"/>
</calcChain>
</file>

<file path=xl/sharedStrings.xml><?xml version="1.0" encoding="utf-8"?>
<sst xmlns="http://schemas.openxmlformats.org/spreadsheetml/2006/main" count="87" uniqueCount="61">
  <si>
    <t>Revenue</t>
  </si>
  <si>
    <t>DASHBOARD TEMPLATE</t>
  </si>
  <si>
    <t>Raw Data</t>
  </si>
  <si>
    <t>Profit Margin</t>
  </si>
  <si>
    <t>Consolidated</t>
  </si>
  <si>
    <t>Business 1</t>
  </si>
  <si>
    <t>Business 2</t>
  </si>
  <si>
    <t>Business 3</t>
  </si>
  <si>
    <t>Historical Results</t>
  </si>
  <si>
    <t xml:space="preserve"> Forecast Period</t>
  </si>
  <si>
    <t>Profit Margin%</t>
  </si>
  <si>
    <t>Profit Margin (FCST)</t>
  </si>
  <si>
    <t>Profit Margin% (FCST)</t>
  </si>
  <si>
    <t>Expenses</t>
  </si>
  <si>
    <t>Salaries and Benefits</t>
  </si>
  <si>
    <t>Rent and Overhead</t>
  </si>
  <si>
    <t>Depreciation &amp; Amortization</t>
  </si>
  <si>
    <t>Interest</t>
  </si>
  <si>
    <t>COGS</t>
  </si>
  <si>
    <t>Total</t>
  </si>
  <si>
    <t>Business Unit Revenue ($000)</t>
  </si>
  <si>
    <t>Profit Margin ($000)</t>
  </si>
  <si>
    <t>2018 Cumulative Revenue ($000)</t>
  </si>
  <si>
    <t>Expenses ($000)</t>
  </si>
  <si>
    <t>Income Statement FY 2018</t>
  </si>
  <si>
    <t>Five-Year Performance Summary</t>
  </si>
  <si>
    <t>2018 Plan</t>
  </si>
  <si>
    <t>© Corporate Finance Institute</t>
  </si>
  <si>
    <t>Assets</t>
  </si>
  <si>
    <t>Current Assets</t>
  </si>
  <si>
    <t>Non-current Assets</t>
  </si>
  <si>
    <t>Total Assets</t>
  </si>
  <si>
    <t>Liabilities</t>
  </si>
  <si>
    <t>Current Liabilities</t>
  </si>
  <si>
    <t>Long-term Liabilities</t>
  </si>
  <si>
    <t>Shareholders' Equity</t>
  </si>
  <si>
    <t>Total Liabilities &amp; Shareholders' Equity</t>
  </si>
  <si>
    <t>P&amp;L Summary 2018</t>
  </si>
  <si>
    <t>Balance Sheet Summary 2018</t>
  </si>
  <si>
    <t>2018 Balance Sheet</t>
  </si>
  <si>
    <t xml:space="preserve"> </t>
  </si>
  <si>
    <t>Strictly Confidential</t>
  </si>
  <si>
    <t>Table of Contents</t>
  </si>
  <si>
    <t>Notes</t>
  </si>
  <si>
    <t>This Excel model is for educational purposes only and should not be used for any other reason.</t>
  </si>
  <si>
    <t>All content is Copyright material of CFI Education Inc.</t>
  </si>
  <si>
    <t>https://corporatefinanceinstitute.com/</t>
  </si>
  <si>
    <t>© 2019 CFI Education Inc.</t>
  </si>
  <si>
    <t xml:space="preserve">All rights reserved.  The contents of this publication, including but not limited to all written material, content layout, images, formulas, and code, are protected under international copyright and trademark laws.  </t>
  </si>
  <si>
    <t xml:space="preserve">No part of this publication may be modified, manipulated, reproduced, distributed, or transmitted in any form by any means, including photocopying, recording, or other electronic or mechanical methods, </t>
  </si>
  <si>
    <t>without prior written permission of the publisher, except in the case of certain noncommercial uses permitted by copyright law.</t>
  </si>
  <si>
    <t>Dashboard Template 2 - Blank</t>
  </si>
  <si>
    <t>5 Yr Average</t>
  </si>
  <si>
    <t>Trend</t>
  </si>
  <si>
    <t>Profit Margin %</t>
  </si>
  <si>
    <t xml:space="preserve">Actual </t>
  </si>
  <si>
    <t>Plan</t>
  </si>
  <si>
    <t>Variance</t>
  </si>
  <si>
    <t>Var%</t>
  </si>
  <si>
    <t xml:space="preserve">Total Expenses </t>
  </si>
  <si>
    <t>Net Operating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</si>
</sst>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[$-409]d\-mmm\-yyyy;@"/>
    <numFmt numFmtId="166" formatCode="_(&quot;$&quot;* #,##0_);_(&quot;$&quot;* \(#,##0\);_(&quot;$&quot;* &quot;-&quot;??_);_(@_)"/>
    <numFmt numFmtId="167" formatCode="0.0%"/>
    <numFmt numFmtId="171" formatCode="0.0%;\(0.0%\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Open Sans"/>
      <family val="2"/>
    </font>
    <font>
      <b/>
      <sz val="11"/>
      <color theme="0"/>
      <name val="Open Sans"/>
      <family val="2"/>
    </font>
    <font>
      <sz val="9"/>
      <color theme="1"/>
      <name val="Open Sans"/>
      <family val="2"/>
    </font>
    <font>
      <sz val="11"/>
      <color theme="1"/>
      <name val="Open Sans"/>
      <family val="2"/>
    </font>
    <font>
      <b/>
      <sz val="11"/>
      <color theme="1"/>
      <name val="Open Sans"/>
      <family val="2"/>
    </font>
    <font>
      <sz val="11"/>
      <color rgb="FF0000FF"/>
      <name val="Open Sans"/>
      <family val="2"/>
    </font>
    <font>
      <sz val="11"/>
      <name val="Open Sans"/>
      <family val="2"/>
    </font>
    <font>
      <sz val="9"/>
      <color theme="2"/>
      <name val="Open Sans"/>
      <family val="2"/>
    </font>
    <font>
      <sz val="10"/>
      <name val="Open Sans"/>
      <family val="2"/>
    </font>
    <font>
      <b/>
      <sz val="16"/>
      <color theme="2"/>
      <name val="Open Sans"/>
      <family val="2"/>
    </font>
    <font>
      <b/>
      <sz val="11"/>
      <name val="Open Sans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 Narrow"/>
      <family val="2"/>
    </font>
    <font>
      <b/>
      <sz val="22"/>
      <color theme="1"/>
      <name val="Arial Narrow"/>
      <family val="2"/>
    </font>
    <font>
      <b/>
      <sz val="11"/>
      <color theme="1"/>
      <name val="Arial Narrow"/>
      <family val="2"/>
    </font>
    <font>
      <u/>
      <sz val="11"/>
      <color rgb="FF002060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"/>
      <name val="Arial"/>
      <family val="2"/>
    </font>
    <font>
      <sz val="11"/>
      <color theme="0"/>
      <name val="Arial Narrow"/>
      <family val="2"/>
    </font>
    <font>
      <sz val="11"/>
      <color theme="3"/>
      <name val="Open Sans"/>
      <family val="2"/>
    </font>
    <font>
      <b/>
      <sz val="11"/>
      <color theme="3"/>
      <name val="Open Sans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ED942D"/>
        <bgColor indexed="64"/>
      </patternFill>
    </fill>
    <fill>
      <patternFill patternType="solid">
        <fgColor rgb="FF132E57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" fillId="0" borderId="0"/>
    <xf numFmtId="0" fontId="18" fillId="0" borderId="0" applyNumberFormat="0" applyFill="0" applyBorder="0" applyAlignment="0" applyProtection="0"/>
  </cellStyleXfs>
  <cellXfs count="85">
    <xf numFmtId="0" fontId="0" fillId="0" borderId="0" xfId="0"/>
    <xf numFmtId="165" fontId="4" fillId="0" borderId="0" xfId="0" applyNumberFormat="1" applyFont="1" applyAlignment="1">
      <alignment horizontal="left"/>
    </xf>
    <xf numFmtId="0" fontId="5" fillId="0" borderId="0" xfId="0" applyFont="1"/>
    <xf numFmtId="166" fontId="5" fillId="0" borderId="0" xfId="0" applyNumberFormat="1" applyFont="1"/>
    <xf numFmtId="0" fontId="5" fillId="0" borderId="1" xfId="0" applyFont="1" applyBorder="1"/>
    <xf numFmtId="0" fontId="5" fillId="0" borderId="0" xfId="0" applyFont="1" applyAlignment="1">
      <alignment horizontal="centerContinuous"/>
    </xf>
    <xf numFmtId="0" fontId="6" fillId="0" borderId="0" xfId="0" applyFont="1"/>
    <xf numFmtId="0" fontId="5" fillId="0" borderId="0" xfId="0" applyFont="1" applyAlignment="1">
      <alignment horizontal="left" indent="1"/>
    </xf>
    <xf numFmtId="166" fontId="7" fillId="0" borderId="0" xfId="3" applyNumberFormat="1" applyFont="1" applyFill="1" applyBorder="1"/>
    <xf numFmtId="166" fontId="7" fillId="0" borderId="0" xfId="3" applyNumberFormat="1" applyFont="1" applyFill="1"/>
    <xf numFmtId="37" fontId="5" fillId="0" borderId="0" xfId="0" applyNumberFormat="1" applyFont="1"/>
    <xf numFmtId="166" fontId="5" fillId="0" borderId="0" xfId="3" applyNumberFormat="1" applyFont="1" applyFill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indent="2"/>
    </xf>
    <xf numFmtId="166" fontId="5" fillId="0" borderId="0" xfId="3" applyNumberFormat="1" applyFont="1"/>
    <xf numFmtId="0" fontId="5" fillId="0" borderId="0" xfId="0" applyFont="1" applyAlignment="1">
      <alignment horizontal="left" indent="2"/>
    </xf>
    <xf numFmtId="166" fontId="7" fillId="0" borderId="0" xfId="3" applyNumberFormat="1" applyFont="1"/>
    <xf numFmtId="0" fontId="5" fillId="0" borderId="0" xfId="0" applyFont="1" applyAlignment="1">
      <alignment horizontal="left"/>
    </xf>
    <xf numFmtId="167" fontId="5" fillId="0" borderId="0" xfId="1" applyNumberFormat="1" applyFont="1"/>
    <xf numFmtId="9" fontId="8" fillId="0" borderId="0" xfId="1" applyFont="1" applyFill="1"/>
    <xf numFmtId="9" fontId="5" fillId="0" borderId="0" xfId="1" applyFont="1" applyFill="1"/>
    <xf numFmtId="166" fontId="8" fillId="0" borderId="0" xfId="3" applyNumberFormat="1" applyFont="1" applyFill="1"/>
    <xf numFmtId="165" fontId="9" fillId="0" borderId="0" xfId="0" applyNumberFormat="1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8" fillId="0" borderId="0" xfId="0" applyFont="1"/>
    <xf numFmtId="0" fontId="10" fillId="0" borderId="0" xfId="0" applyFont="1" applyAlignment="1">
      <alignment horizontal="centerContinuous"/>
    </xf>
    <xf numFmtId="0" fontId="11" fillId="0" borderId="1" xfId="0" quotePrefix="1" applyFont="1" applyBorder="1"/>
    <xf numFmtId="0" fontId="3" fillId="3" borderId="0" xfId="0" applyFont="1" applyFill="1" applyAlignment="1">
      <alignment horizontal="centerContinuous" vertical="center"/>
    </xf>
    <xf numFmtId="166" fontId="8" fillId="0" borderId="0" xfId="3" applyNumberFormat="1" applyFont="1" applyFill="1" applyBorder="1"/>
    <xf numFmtId="9" fontId="8" fillId="0" borderId="0" xfId="1" applyFont="1" applyFill="1" applyBorder="1"/>
    <xf numFmtId="166" fontId="5" fillId="0" borderId="0" xfId="3" applyNumberFormat="1" applyFont="1" applyBorder="1"/>
    <xf numFmtId="9" fontId="5" fillId="0" borderId="0" xfId="1" applyFont="1" applyFill="1" applyBorder="1"/>
    <xf numFmtId="0" fontId="3" fillId="2" borderId="0" xfId="0" applyFont="1" applyFill="1" applyAlignment="1">
      <alignment horizontal="right"/>
    </xf>
    <xf numFmtId="0" fontId="3" fillId="3" borderId="0" xfId="0" applyFont="1" applyFill="1" applyAlignment="1">
      <alignment horizontal="right"/>
    </xf>
    <xf numFmtId="0" fontId="12" fillId="0" borderId="0" xfId="0" applyFont="1"/>
    <xf numFmtId="0" fontId="2" fillId="2" borderId="0" xfId="0" applyFont="1" applyFill="1" applyAlignment="1">
      <alignment horizontal="centerContinuous" vertical="center"/>
    </xf>
    <xf numFmtId="0" fontId="2" fillId="3" borderId="0" xfId="0" applyFont="1" applyFill="1" applyAlignment="1">
      <alignment horizontal="centerContinuous" vertical="center"/>
    </xf>
    <xf numFmtId="0" fontId="12" fillId="0" borderId="0" xfId="0" applyFont="1" applyAlignment="1">
      <alignment vertical="center"/>
    </xf>
    <xf numFmtId="0" fontId="5" fillId="4" borderId="0" xfId="0" applyFont="1" applyFill="1"/>
    <xf numFmtId="166" fontId="5" fillId="5" borderId="0" xfId="3" applyNumberFormat="1" applyFont="1" applyFill="1" applyBorder="1"/>
    <xf numFmtId="166" fontId="5" fillId="5" borderId="0" xfId="3" applyNumberFormat="1" applyFont="1" applyFill="1"/>
    <xf numFmtId="9" fontId="5" fillId="5" borderId="0" xfId="1" applyFont="1" applyFill="1" applyBorder="1"/>
    <xf numFmtId="37" fontId="5" fillId="5" borderId="0" xfId="0" applyNumberFormat="1" applyFont="1" applyFill="1"/>
    <xf numFmtId="0" fontId="5" fillId="5" borderId="0" xfId="0" applyFont="1" applyFill="1"/>
    <xf numFmtId="1" fontId="5" fillId="5" borderId="0" xfId="0" applyNumberFormat="1" applyFont="1" applyFill="1"/>
    <xf numFmtId="166" fontId="5" fillId="5" borderId="0" xfId="0" applyNumberFormat="1" applyFont="1" applyFill="1"/>
    <xf numFmtId="0" fontId="14" fillId="6" borderId="0" xfId="5" applyFont="1" applyFill="1"/>
    <xf numFmtId="0" fontId="14" fillId="0" borderId="0" xfId="5" applyFont="1"/>
    <xf numFmtId="0" fontId="15" fillId="0" borderId="0" xfId="5" applyFont="1" applyProtection="1">
      <protection locked="0"/>
    </xf>
    <xf numFmtId="0" fontId="16" fillId="0" borderId="0" xfId="5" applyFont="1" applyAlignment="1">
      <alignment horizontal="right"/>
    </xf>
    <xf numFmtId="0" fontId="14" fillId="0" borderId="0" xfId="5" applyFont="1" applyProtection="1">
      <protection locked="0"/>
    </xf>
    <xf numFmtId="0" fontId="16" fillId="0" borderId="0" xfId="5" applyFont="1" applyProtection="1">
      <protection locked="0"/>
    </xf>
    <xf numFmtId="0" fontId="17" fillId="0" borderId="2" xfId="4" applyFont="1" applyFill="1" applyBorder="1" applyProtection="1">
      <protection locked="0"/>
    </xf>
    <xf numFmtId="0" fontId="1" fillId="0" borderId="0" xfId="5"/>
    <xf numFmtId="0" fontId="14" fillId="0" borderId="2" xfId="5" applyFont="1" applyBorder="1"/>
    <xf numFmtId="0" fontId="19" fillId="0" borderId="0" xfId="6" applyFont="1" applyFill="1" applyBorder="1"/>
    <xf numFmtId="0" fontId="20" fillId="7" borderId="0" xfId="5" applyFont="1" applyFill="1"/>
    <xf numFmtId="0" fontId="14" fillId="7" borderId="0" xfId="5" applyFont="1" applyFill="1"/>
    <xf numFmtId="0" fontId="14" fillId="8" borderId="0" xfId="5" applyFont="1" applyFill="1"/>
    <xf numFmtId="0" fontId="21" fillId="2" borderId="0" xfId="0" applyFont="1" applyFill="1" applyAlignment="1">
      <alignment horizontal="centerContinuous" vertical="center"/>
    </xf>
    <xf numFmtId="0" fontId="22" fillId="0" borderId="0" xfId="0" applyFont="1"/>
    <xf numFmtId="0" fontId="0" fillId="0" borderId="2" xfId="0" applyBorder="1"/>
    <xf numFmtId="0" fontId="0" fillId="0" borderId="3" xfId="0" applyBorder="1" applyAlignment="1">
      <alignment horizontal="right"/>
    </xf>
    <xf numFmtId="167" fontId="0" fillId="0" borderId="0" xfId="1" applyNumberFormat="1" applyFont="1"/>
    <xf numFmtId="6" fontId="0" fillId="0" borderId="2" xfId="0" applyNumberFormat="1" applyBorder="1"/>
    <xf numFmtId="6" fontId="0" fillId="0" borderId="0" xfId="0" applyNumberFormat="1"/>
    <xf numFmtId="0" fontId="0" fillId="0" borderId="0" xfId="0" applyAlignment="1">
      <alignment horizontal="center"/>
    </xf>
    <xf numFmtId="167" fontId="0" fillId="0" borderId="0" xfId="0" applyNumberFormat="1"/>
    <xf numFmtId="5" fontId="0" fillId="0" borderId="2" xfId="0" applyNumberFormat="1" applyBorder="1" applyAlignment="1">
      <alignment horizontal="right"/>
    </xf>
    <xf numFmtId="5" fontId="0" fillId="0" borderId="0" xfId="0" applyNumberFormat="1" applyAlignment="1">
      <alignment horizontal="right"/>
    </xf>
    <xf numFmtId="171" fontId="0" fillId="0" borderId="2" xfId="1" applyNumberFormat="1" applyFont="1" applyBorder="1" applyAlignment="1">
      <alignment horizontal="center"/>
    </xf>
    <xf numFmtId="171" fontId="0" fillId="0" borderId="0" xfId="1" applyNumberFormat="1" applyFont="1" applyAlignment="1">
      <alignment horizontal="center"/>
    </xf>
    <xf numFmtId="0" fontId="23" fillId="0" borderId="0" xfId="0" applyFont="1"/>
    <xf numFmtId="0" fontId="0" fillId="0" borderId="0" xfId="0" applyAlignment="1">
      <alignment horizontal="left" indent="1"/>
    </xf>
    <xf numFmtId="5" fontId="0" fillId="0" borderId="0" xfId="0" applyNumberFormat="1"/>
    <xf numFmtId="0" fontId="0" fillId="0" borderId="4" xfId="0" applyBorder="1"/>
    <xf numFmtId="5" fontId="0" fillId="0" borderId="4" xfId="0" applyNumberFormat="1" applyBorder="1"/>
    <xf numFmtId="5" fontId="23" fillId="0" borderId="0" xfId="0" applyNumberFormat="1" applyFont="1"/>
    <xf numFmtId="5" fontId="5" fillId="0" borderId="0" xfId="3" applyNumberFormat="1" applyFont="1"/>
    <xf numFmtId="0" fontId="23" fillId="0" borderId="5" xfId="0" applyFont="1" applyBorder="1"/>
    <xf numFmtId="5" fontId="23" fillId="0" borderId="5" xfId="0" applyNumberFormat="1" applyFont="1" applyBorder="1"/>
    <xf numFmtId="0" fontId="0" fillId="0" borderId="5" xfId="0" applyBorder="1"/>
    <xf numFmtId="0" fontId="6" fillId="0" borderId="5" xfId="0" applyFont="1" applyBorder="1"/>
    <xf numFmtId="5" fontId="5" fillId="0" borderId="5" xfId="3" applyNumberFormat="1" applyFont="1" applyFill="1" applyBorder="1"/>
  </cellXfs>
  <cellStyles count="7">
    <cellStyle name="Comma 2" xfId="2" xr:uid="{00000000-0005-0000-0000-000001000000}"/>
    <cellStyle name="Currency" xfId="3" builtinId="4"/>
    <cellStyle name="Hyperlink" xfId="4" builtinId="8"/>
    <cellStyle name="Hyperlink 2 2" xfId="6" xr:uid="{97B65F61-F0F5-40FB-9F52-2AB7A68796A0}"/>
    <cellStyle name="Normal" xfId="0" builtinId="0"/>
    <cellStyle name="Normal 2 2" xfId="5" xr:uid="{73061ACD-E3EB-47A4-A357-EA584CFE4180}"/>
    <cellStyle name="Percent" xfId="1" builtinId="5"/>
  </cellStyles>
  <dxfs count="0"/>
  <tableStyles count="0" defaultTableStyle="TableStyleMedium2" defaultPivotStyle="PivotStyleLight16"/>
  <colors>
    <mruColors>
      <color rgb="FF1E8496"/>
      <color rgb="FFED9330"/>
      <color rgb="FF0000FF"/>
      <color rgb="FF676767"/>
      <color rgb="FF132E57"/>
      <color rgb="FFED94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7747898783872982E-2"/>
          <c:y val="9.1424592732150339E-2"/>
          <c:w val="0.97943875647320833"/>
          <c:h val="0.7850313834307772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Dashboard_2!$Q$7</c:f>
              <c:strCache>
                <c:ptCount val="1"/>
                <c:pt idx="0">
                  <c:v>Business 1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Dashboard_2!$T$5:$X$5</c:f>
              <c:numCache>
                <c:formatCode>General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f>Dashboard_2!$T$7:$X$7</c:f>
              <c:numCache>
                <c:formatCode>_("$"* #,##0_);_("$"* \(#,##0\);_("$"* "-"??_);_(@_)</c:formatCode>
                <c:ptCount val="5"/>
                <c:pt idx="0">
                  <c:v>102007</c:v>
                </c:pt>
                <c:pt idx="1">
                  <c:v>118086</c:v>
                </c:pt>
                <c:pt idx="2">
                  <c:v>131345</c:v>
                </c:pt>
                <c:pt idx="3">
                  <c:v>142341</c:v>
                </c:pt>
                <c:pt idx="4">
                  <c:v>150772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95-1747-834B-71B84DB69C6B}"/>
            </c:ext>
          </c:extLst>
        </c:ser>
        <c:ser>
          <c:idx val="1"/>
          <c:order val="1"/>
          <c:tx>
            <c:strRef>
              <c:f>Dashboard_2!$Q$8</c:f>
              <c:strCache>
                <c:ptCount val="1"/>
                <c:pt idx="0">
                  <c:v>Business 2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numRef>
              <c:f>Dashboard_2!$T$5:$X$5</c:f>
              <c:numCache>
                <c:formatCode>General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f>Dashboard_2!$T$8:$X$8</c:f>
              <c:numCache>
                <c:formatCode>_("$"* #,##0_);_("$"* \(#,##0\);_("$"* "-"??_);_(@_)</c:formatCode>
                <c:ptCount val="5"/>
                <c:pt idx="0">
                  <c:v>156387</c:v>
                </c:pt>
                <c:pt idx="1">
                  <c:v>158882</c:v>
                </c:pt>
                <c:pt idx="2">
                  <c:v>160034</c:v>
                </c:pt>
                <c:pt idx="3">
                  <c:v>174988</c:v>
                </c:pt>
                <c:pt idx="4">
                  <c:v>191520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95-1747-834B-71B84DB69C6B}"/>
            </c:ext>
          </c:extLst>
        </c:ser>
        <c:ser>
          <c:idx val="2"/>
          <c:order val="2"/>
          <c:tx>
            <c:strRef>
              <c:f>Dashboard_2!$Q$9</c:f>
              <c:strCache>
                <c:ptCount val="1"/>
                <c:pt idx="0">
                  <c:v>Business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Dashboard_2!$T$5:$X$5</c:f>
              <c:numCache>
                <c:formatCode>General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f>Dashboard_2!$T$9:$X$9</c:f>
              <c:numCache>
                <c:formatCode>_("$"* #,##0_);_("$"* \(#,##0\);_("$"* "-"??_);_(@_)</c:formatCode>
                <c:ptCount val="5"/>
                <c:pt idx="0">
                  <c:v>134622</c:v>
                </c:pt>
                <c:pt idx="1">
                  <c:v>138520</c:v>
                </c:pt>
                <c:pt idx="2">
                  <c:v>143362</c:v>
                </c:pt>
                <c:pt idx="3">
                  <c:v>145897</c:v>
                </c:pt>
                <c:pt idx="4">
                  <c:v>148631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95-1747-834B-71B84DB69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413812672"/>
        <c:axId val="707621264"/>
      </c:barChart>
      <c:lineChart>
        <c:grouping val="standard"/>
        <c:varyColors val="0"/>
        <c:ser>
          <c:idx val="3"/>
          <c:order val="3"/>
          <c:tx>
            <c:strRef>
              <c:f>Dashboard_2!$Q$10</c:f>
              <c:strCache>
                <c:ptCount val="1"/>
                <c:pt idx="0">
                  <c:v>Consolidated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Dashboard_2!$T$10:$X$10</c:f>
              <c:numCache>
                <c:formatCode>_("$"* #,##0_);_("$"* \(#,##0\);_("$"* "-"??_);_(@_)</c:formatCode>
                <c:ptCount val="5"/>
                <c:pt idx="0">
                  <c:v>393016</c:v>
                </c:pt>
                <c:pt idx="1">
                  <c:v>415488</c:v>
                </c:pt>
                <c:pt idx="2">
                  <c:v>434741</c:v>
                </c:pt>
                <c:pt idx="3">
                  <c:v>463226</c:v>
                </c:pt>
                <c:pt idx="4">
                  <c:v>490923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95-1747-834B-71B84DB69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3812672"/>
        <c:axId val="707621264"/>
      </c:lineChart>
      <c:catAx>
        <c:axId val="413812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621264"/>
        <c:crosses val="autoZero"/>
        <c:auto val="1"/>
        <c:lblAlgn val="ctr"/>
        <c:lblOffset val="100"/>
        <c:noMultiLvlLbl val="0"/>
      </c:catAx>
      <c:valAx>
        <c:axId val="707621264"/>
        <c:scaling>
          <c:orientation val="minMax"/>
        </c:scaling>
        <c:delete val="1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crossAx val="413812672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27243863116652E-2"/>
          <c:y val="7.6404370129936616E-2"/>
          <c:w val="0.82969207077897555"/>
          <c:h val="9.17598778971627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Dashboard_2!$T$5:$AC$5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Dashboard_2!$T$14:$AC$14</c:f>
              <c:numCache>
                <c:formatCode>_("$"* #,##0_);_("$"* \(#,##0\);_("$"* "-"??_);_(@_)</c:formatCode>
                <c:ptCount val="10"/>
                <c:pt idx="0">
                  <c:v>26063</c:v>
                </c:pt>
                <c:pt idx="1">
                  <c:v>34177</c:v>
                </c:pt>
                <c:pt idx="2">
                  <c:v>43380</c:v>
                </c:pt>
                <c:pt idx="3">
                  <c:v>64067.5</c:v>
                </c:pt>
                <c:pt idx="4">
                  <c:v>70080.649999999994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96-8642-AFF4-06C9707F2331}"/>
            </c:ext>
          </c:extLst>
        </c:ser>
        <c:ser>
          <c:idx val="2"/>
          <c:order val="2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Dashboard_2!$T$5:$AC$5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Dashboard_2!$T$16:$AC$16</c:f>
              <c:numCache>
                <c:formatCode>General</c:formatCode>
                <c:ptCount val="10"/>
                <c:pt idx="5" formatCode="_(&quot;$&quot;* #,##0_);_(&quot;$&quot;* \(#,##0\);_(&quot;$&quot;* &quot;-&quot;??_);_(@_)">
                  <c:v>77615.140200000023</c:v>
                </c:pt>
                <c:pt idx="6" formatCode="_(&quot;$&quot;* #,##0_);_(&quot;$&quot;* \(#,##0\);_(&quot;$&quot;* &quot;-&quot;??_);_(@_)">
                  <c:v>86965.275205999991</c:v>
                </c:pt>
                <c:pt idx="7" formatCode="_(&quot;$&quot;* #,##0_);_(&quot;$&quot;* \(#,##0\);_(&quot;$&quot;* &quot;-&quot;??_);_(@_)">
                  <c:v>89178.289719779976</c:v>
                </c:pt>
                <c:pt idx="8" formatCode="_(&quot;$&quot;* #,##0_);_(&quot;$&quot;* \(#,##0\);_(&quot;$&quot;* &quot;-&quot;??_);_(@_)">
                  <c:v>107712.0605543695</c:v>
                </c:pt>
                <c:pt idx="9" formatCode="_(&quot;$&quot;* #,##0_);_(&quot;$&quot;* \(#,##0\);_(&quot;$&quot;* &quot;-&quot;??_);_(@_)">
                  <c:v>126070.04030503504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96-8642-AFF4-06C9707F2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709180800"/>
        <c:axId val="831845536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Dashboard_2!$T$15:$AC$15</c:f>
              <c:numCache>
                <c:formatCode>0%</c:formatCode>
                <c:ptCount val="10"/>
                <c:pt idx="0">
                  <c:v>6.6315366295519776E-2</c:v>
                </c:pt>
                <c:pt idx="1">
                  <c:v>8.2257489987677138E-2</c:v>
                </c:pt>
                <c:pt idx="2">
                  <c:v>9.9783549285666642E-2</c:v>
                </c:pt>
                <c:pt idx="3">
                  <c:v>0.1383072193702426</c:v>
                </c:pt>
                <c:pt idx="4">
                  <c:v>0.14275283496597224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96-8642-AFF4-06C9707F2331}"/>
            </c:ext>
          </c:extLst>
        </c:ser>
        <c:ser>
          <c:idx val="3"/>
          <c:order val="3"/>
          <c:spPr>
            <a:ln w="28575" cap="rnd">
              <a:solidFill>
                <a:srgbClr val="002060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Dashboard_2!$T$17:$AC$17</c:f>
              <c:numCache>
                <c:formatCode>General</c:formatCode>
                <c:ptCount val="10"/>
                <c:pt idx="5" formatCode="0%">
                  <c:v>0.1501800845875246</c:v>
                </c:pt>
                <c:pt idx="6" formatCode="0%">
                  <c:v>0.16038469928724794</c:v>
                </c:pt>
                <c:pt idx="7" formatCode="0%">
                  <c:v>0.15570195482215898</c:v>
                </c:pt>
                <c:pt idx="8" formatCode="0%">
                  <c:v>0.17682840857303508</c:v>
                </c:pt>
                <c:pt idx="9" formatCode="0%">
                  <c:v>0.19195144988889803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96-8642-AFF4-06C9707F2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9840624"/>
        <c:axId val="559882192"/>
      </c:lineChart>
      <c:catAx>
        <c:axId val="70918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845536"/>
        <c:crosses val="autoZero"/>
        <c:auto val="1"/>
        <c:lblAlgn val="ctr"/>
        <c:lblOffset val="100"/>
        <c:noMultiLvlLbl val="0"/>
      </c:catAx>
      <c:valAx>
        <c:axId val="831845536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180800"/>
        <c:crosses val="autoZero"/>
        <c:crossBetween val="between"/>
        <c:dispUnits>
          <c:builtInUnit val="thousands"/>
        </c:dispUnits>
      </c:valAx>
      <c:valAx>
        <c:axId val="559882192"/>
        <c:scaling>
          <c:orientation val="minMax"/>
          <c:max val="0.2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840624"/>
        <c:crosses val="max"/>
        <c:crossBetween val="between"/>
      </c:valAx>
      <c:catAx>
        <c:axId val="559840624"/>
        <c:scaling>
          <c:orientation val="minMax"/>
        </c:scaling>
        <c:delete val="1"/>
        <c:axPos val="b"/>
        <c:majorTickMark val="out"/>
        <c:minorTickMark val="none"/>
        <c:tickLblPos val="nextTo"/>
        <c:crossAx val="5598821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542084911141827E-2"/>
          <c:y val="0.19786096256684491"/>
          <c:w val="0.85426198633567751"/>
          <c:h val="0.69486504694934526"/>
        </c:manualLayout>
      </c:layout>
      <c:areaChart>
        <c:grouping val="stacked"/>
        <c:varyColors val="0"/>
        <c:ser>
          <c:idx val="0"/>
          <c:order val="0"/>
          <c:tx>
            <c:strRef>
              <c:f>Dashboard_2!$Q$20</c:f>
              <c:strCache>
                <c:ptCount val="1"/>
                <c:pt idx="0">
                  <c:v>Salaries and Benefits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Dashboard_2!$T$5:$AC$5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Dashboard_2!$T$20:$AC$20</c:f>
              <c:numCache>
                <c:formatCode>_("$"* #,##0_);_("$"* \(#,##0\);_("$"* "-"??_);_(@_)</c:formatCode>
                <c:ptCount val="10"/>
                <c:pt idx="0">
                  <c:v>70854</c:v>
                </c:pt>
                <c:pt idx="1">
                  <c:v>77974</c:v>
                </c:pt>
                <c:pt idx="2">
                  <c:v>81616</c:v>
                </c:pt>
                <c:pt idx="3">
                  <c:v>79006</c:v>
                </c:pt>
                <c:pt idx="4">
                  <c:v>85735</c:v>
                </c:pt>
                <c:pt idx="5">
                  <c:v>93251.030800000008</c:v>
                </c:pt>
                <c:pt idx="6">
                  <c:v>99602.602844000008</c:v>
                </c:pt>
                <c:pt idx="7">
                  <c:v>109483.06949451999</c:v>
                </c:pt>
                <c:pt idx="8">
                  <c:v>113938.60019863164</c:v>
                </c:pt>
                <c:pt idx="9">
                  <c:v>122019.53279673966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85-DC4E-ADB1-620E70477412}"/>
            </c:ext>
          </c:extLst>
        </c:ser>
        <c:ser>
          <c:idx val="1"/>
          <c:order val="1"/>
          <c:tx>
            <c:strRef>
              <c:f>Dashboard_2!$Q$21</c:f>
              <c:strCache>
                <c:ptCount val="1"/>
                <c:pt idx="0">
                  <c:v>Rent and Overhead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Dashboard_2!$T$5:$AC$5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Dashboard_2!$T$21:$AC$21</c:f>
              <c:numCache>
                <c:formatCode>_("$"* #,##0_);_("$"* \(#,##0\);_("$"* "-"??_);_(@_)</c:formatCode>
                <c:ptCount val="10"/>
                <c:pt idx="0">
                  <c:v>32789</c:v>
                </c:pt>
                <c:pt idx="1">
                  <c:v>35375</c:v>
                </c:pt>
                <c:pt idx="2">
                  <c:v>35261</c:v>
                </c:pt>
                <c:pt idx="3">
                  <c:v>38060</c:v>
                </c:pt>
                <c:pt idx="4">
                  <c:v>39236</c:v>
                </c:pt>
                <c:pt idx="5">
                  <c:v>41211</c:v>
                </c:pt>
                <c:pt idx="6">
                  <c:v>40518</c:v>
                </c:pt>
                <c:pt idx="7">
                  <c:v>43010</c:v>
                </c:pt>
                <c:pt idx="8">
                  <c:v>43800</c:v>
                </c:pt>
                <c:pt idx="9">
                  <c:v>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85-DC4E-ADB1-620E70477412}"/>
            </c:ext>
          </c:extLst>
        </c:ser>
        <c:ser>
          <c:idx val="2"/>
          <c:order val="2"/>
          <c:tx>
            <c:strRef>
              <c:f>Dashboard_2!$Q$22</c:f>
              <c:strCache>
                <c:ptCount val="1"/>
                <c:pt idx="0">
                  <c:v>Depreciation &amp; Amortization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Dashboard_2!$T$5:$AC$5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Dashboard_2!$T$22:$AC$22</c:f>
              <c:numCache>
                <c:formatCode>_("$"* #,##0_);_("$"* \(#,##0\);_("$"* "-"??_);_(@_)</c:formatCode>
                <c:ptCount val="10"/>
                <c:pt idx="0">
                  <c:v>48741</c:v>
                </c:pt>
                <c:pt idx="1">
                  <c:v>54450</c:v>
                </c:pt>
                <c:pt idx="2">
                  <c:v>51615</c:v>
                </c:pt>
                <c:pt idx="3">
                  <c:v>49630.5</c:v>
                </c:pt>
                <c:pt idx="4">
                  <c:v>48241.35</c:v>
                </c:pt>
                <c:pt idx="5">
                  <c:v>36770.629000000001</c:v>
                </c:pt>
                <c:pt idx="6">
                  <c:v>41076.371950000001</c:v>
                </c:pt>
                <c:pt idx="7">
                  <c:v>43979.609285700004</c:v>
                </c:pt>
                <c:pt idx="8">
                  <c:v>45937.574249118996</c:v>
                </c:pt>
                <c:pt idx="9">
                  <c:v>47258.297154765089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85-DC4E-ADB1-620E70477412}"/>
            </c:ext>
          </c:extLst>
        </c:ser>
        <c:ser>
          <c:idx val="3"/>
          <c:order val="3"/>
          <c:tx>
            <c:strRef>
              <c:f>Dashboard_2!$Q$23</c:f>
              <c:strCache>
                <c:ptCount val="1"/>
                <c:pt idx="0">
                  <c:v>Interest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numRef>
              <c:f>Dashboard_2!$T$5:$AC$5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Dashboard_2!$T$23:$AC$23</c:f>
              <c:numCache>
                <c:formatCode>_("$"* #,##0_);_("$"* \(#,##0\);_("$"* "-"??_);_(@_)</c:formatCode>
                <c:ptCount val="10"/>
                <c:pt idx="0">
                  <c:v>7500</c:v>
                </c:pt>
                <c:pt idx="1">
                  <c:v>7500</c:v>
                </c:pt>
                <c:pt idx="2">
                  <c:v>4500</c:v>
                </c:pt>
                <c:pt idx="3">
                  <c:v>4500</c:v>
                </c:pt>
                <c:pt idx="4">
                  <c:v>4500</c:v>
                </c:pt>
                <c:pt idx="5">
                  <c:v>8100</c:v>
                </c:pt>
                <c:pt idx="6">
                  <c:v>8100</c:v>
                </c:pt>
                <c:pt idx="7">
                  <c:v>8100</c:v>
                </c:pt>
                <c:pt idx="8">
                  <c:v>8100</c:v>
                </c:pt>
                <c:pt idx="9">
                  <c:v>10100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85-DC4E-ADB1-620E70477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324768"/>
        <c:axId val="914049887"/>
      </c:areaChart>
      <c:catAx>
        <c:axId val="628324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049887"/>
        <c:crosses val="autoZero"/>
        <c:auto val="1"/>
        <c:lblAlgn val="ctr"/>
        <c:lblOffset val="100"/>
        <c:noMultiLvlLbl val="0"/>
      </c:catAx>
      <c:valAx>
        <c:axId val="914049887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324768"/>
        <c:crosses val="autoZero"/>
        <c:crossBetween val="midCat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946264350543955E-2"/>
          <c:y val="4.1475009474083106E-2"/>
          <c:w val="0.78337180180721688"/>
          <c:h val="0.159733883531938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plotArea>
      <cx:plotAreaRegion>
        <cx:series layoutId="waterfall" uniqueId="{9CF06E5F-7B3F-B94B-A93A-6645E93F5B4A}">
          <cx:dataPt idx="0">
            <cx:spPr>
              <a:solidFill>
                <a:sysClr val="windowText" lastClr="000000">
                  <a:lumMod val="50000"/>
                  <a:lumOff val="50000"/>
                </a:sysClr>
              </a:solidFill>
            </cx:spPr>
          </cx:dataPt>
          <cx:dataPt idx="1">
            <cx:spPr>
              <a:solidFill>
                <a:srgbClr val="1E8496"/>
              </a:solidFill>
            </cx:spPr>
          </cx:dataPt>
          <cx:dataPt idx="2">
            <cx:spPr>
              <a:solidFill>
                <a:srgbClr val="FA621C"/>
              </a:solidFill>
            </cx:spPr>
          </cx:dataPt>
          <cx:dataPt idx="3">
            <cx:spPr>
              <a:solidFill>
                <a:srgbClr val="002060"/>
              </a:solidFill>
            </cx:spPr>
          </cx:dataPt>
          <cx:dataLabels pos="outEnd">
            <cx:visibility seriesName="0" categoryName="0" value="1"/>
          </cx:dataLabels>
          <cx:dataId val="0"/>
          <cx:layoutPr>
            <cx:subtotals>
              <cx:idx val="3"/>
            </cx:subtotals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 hidden="1">
        <cx:valScaling max="600000" min="0"/>
        <cx:majorTickMarks type="in"/>
        <cx:minorTickMarks type="in"/>
        <cx:tickLabels/>
        <cx:numFmt formatCode="General" sourceLinked="0"/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orporatefinanceinstitute.com/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jpeg"/><Relationship Id="rId1" Type="http://schemas.openxmlformats.org/officeDocument/2006/relationships/hyperlink" Target="https://www.corporatefinanceinstitute.com/" TargetMode="External"/><Relationship Id="rId6" Type="http://schemas.openxmlformats.org/officeDocument/2006/relationships/chart" Target="../charts/chart3.xml"/><Relationship Id="rId5" Type="http://schemas.microsoft.com/office/2014/relationships/chartEx" Target="../charts/chartEx1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714374</xdr:colOff>
      <xdr:row>3</xdr:row>
      <xdr:rowOff>19050</xdr:rowOff>
    </xdr:from>
    <xdr:ext cx="3446303" cy="1540510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AFF5E9-4C7B-4D25-AD82-A514FACCA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1294" y="745490"/>
          <a:ext cx="3446303" cy="154051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12</xdr:col>
      <xdr:colOff>802843</xdr:colOff>
      <xdr:row>1</xdr:row>
      <xdr:rowOff>192915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A03325-883A-4773-A7F1-DA29972C3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4860" y="0"/>
          <a:ext cx="829438" cy="39010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</xdr:row>
      <xdr:rowOff>257175</xdr:rowOff>
    </xdr:from>
    <xdr:to>
      <xdr:col>6</xdr:col>
      <xdr:colOff>0</xdr:colOff>
      <xdr:row>16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C24751D-D68B-057C-794C-9296E4BDDD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4</xdr:row>
      <xdr:rowOff>35943</xdr:rowOff>
    </xdr:from>
    <xdr:to>
      <xdr:col>13</xdr:col>
      <xdr:colOff>0</xdr:colOff>
      <xdr:row>16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20C4C94-7F6F-843A-F9A2-E09A706A42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40640</xdr:colOff>
      <xdr:row>17</xdr:row>
      <xdr:rowOff>81279</xdr:rowOff>
    </xdr:from>
    <xdr:to>
      <xdr:col>5</xdr:col>
      <xdr:colOff>944880</xdr:colOff>
      <xdr:row>28</xdr:row>
      <xdr:rowOff>213360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1F73925-A9B8-A823-BDED-5D1C907F9A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8000" y="3931919"/>
              <a:ext cx="4165600" cy="23571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0</xdr:colOff>
      <xdr:row>17</xdr:row>
      <xdr:rowOff>76200</xdr:rowOff>
    </xdr:from>
    <xdr:to>
      <xdr:col>12</xdr:col>
      <xdr:colOff>1028700</xdr:colOff>
      <xdr:row>28</xdr:row>
      <xdr:rowOff>254000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1116F8-4B4D-F997-5218-7B4FD5E868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0.19617</cdr:x>
      <cdr:y>0.0398</cdr:y>
    </cdr:from>
    <cdr:to>
      <cdr:x>0.35407</cdr:x>
      <cdr:y>0.14428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E5F27E7-27AD-C2CB-4E58-FFC32DD42B66}"/>
            </a:ext>
          </a:extLst>
        </cdr:cNvPr>
        <cdr:cNvSpPr txBox="1"/>
      </cdr:nvSpPr>
      <cdr:spPr>
        <a:xfrm xmlns:a="http://schemas.openxmlformats.org/drawingml/2006/main">
          <a:off x="982453" y="95849"/>
          <a:ext cx="790755" cy="2516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 kern="1200">
              <a:solidFill>
                <a:schemeClr val="tx2"/>
              </a:solidFill>
            </a:rPr>
            <a:t>Historical</a:t>
          </a:r>
        </a:p>
      </cdr:txBody>
    </cdr:sp>
  </cdr:relSizeAnchor>
  <cdr:relSizeAnchor xmlns:cdr="http://schemas.openxmlformats.org/drawingml/2006/chartDrawing">
    <cdr:from>
      <cdr:x>0.57952</cdr:x>
      <cdr:y>0.05094</cdr:y>
    </cdr:from>
    <cdr:to>
      <cdr:x>0.73742</cdr:x>
      <cdr:y>0.15542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79221DFB-E5A4-4313-3120-149C62182179}"/>
            </a:ext>
          </a:extLst>
        </cdr:cNvPr>
        <cdr:cNvSpPr txBox="1"/>
      </cdr:nvSpPr>
      <cdr:spPr>
        <a:xfrm xmlns:a="http://schemas.openxmlformats.org/drawingml/2006/main">
          <a:off x="2902309" y="122686"/>
          <a:ext cx="790755" cy="2516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 kern="1200">
              <a:solidFill>
                <a:srgbClr val="002060"/>
              </a:solidFill>
            </a:rPr>
            <a:t>Forecast</a:t>
          </a:r>
        </a:p>
        <a:p xmlns:a="http://schemas.openxmlformats.org/drawingml/2006/main">
          <a:endParaRPr lang="en-US" sz="1100" b="1" kern="1200">
            <a:solidFill>
              <a:schemeClr val="tx2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0.52163</cdr:x>
      <cdr:y>0.22995</cdr:y>
    </cdr:from>
    <cdr:to>
      <cdr:x>0.52417</cdr:x>
      <cdr:y>0.88235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05EA585E-88D5-6C32-A37E-C142CAC6A38F}"/>
            </a:ext>
          </a:extLst>
        </cdr:cNvPr>
        <cdr:cNvCxnSpPr/>
      </cdr:nvCxnSpPr>
      <cdr:spPr>
        <a:xfrm xmlns:a="http://schemas.openxmlformats.org/drawingml/2006/main">
          <a:off x="2603500" y="546100"/>
          <a:ext cx="12700" cy="1549400"/>
        </a:xfrm>
        <a:prstGeom xmlns:a="http://schemas.openxmlformats.org/drawingml/2006/main" prst="line">
          <a:avLst/>
        </a:prstGeom>
        <a:ln xmlns:a="http://schemas.openxmlformats.org/drawingml/2006/main" w="25400">
          <a:solidFill>
            <a:schemeClr val="tx1">
              <a:lumMod val="75000"/>
              <a:lumOff val="25000"/>
            </a:schemeClr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orporatefinanceinstitute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62B16-274B-4888-A8C6-82EB8235E35F}">
  <dimension ref="B1:O46"/>
  <sheetViews>
    <sheetView showGridLines="0" zoomScaleNormal="100" workbookViewId="0"/>
  </sheetViews>
  <sheetFormatPr baseColWidth="10" defaultColWidth="9.1640625" defaultRowHeight="14" x14ac:dyDescent="0.15"/>
  <cols>
    <col min="1" max="2" width="11" style="47" customWidth="1"/>
    <col min="3" max="3" width="33.1640625" style="47" customWidth="1"/>
    <col min="4" max="22" width="11" style="47" customWidth="1"/>
    <col min="23" max="25" width="9.1640625" style="47"/>
    <col min="26" max="26" width="9.1640625" style="47" customWidth="1"/>
    <col min="27" max="16384" width="9.1640625" style="47"/>
  </cols>
  <sheetData>
    <row r="1" spans="2:15" ht="19.5" customHeight="1" x14ac:dyDescent="0.15"/>
    <row r="2" spans="2:15" ht="19.5" customHeight="1" x14ac:dyDescent="0.15"/>
    <row r="3" spans="2:15" ht="19.5" customHeight="1" x14ac:dyDescent="0.15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</row>
    <row r="4" spans="2:15" ht="19.5" customHeight="1" x14ac:dyDescent="0.15"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</row>
    <row r="5" spans="2:15" ht="19.5" customHeight="1" x14ac:dyDescent="0.15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</row>
    <row r="6" spans="2:15" ht="19.5" customHeight="1" x14ac:dyDescent="0.15"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2:15" ht="19.5" customHeight="1" x14ac:dyDescent="0.15"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</row>
    <row r="8" spans="2:15" ht="19.5" customHeight="1" x14ac:dyDescent="0.15"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</row>
    <row r="9" spans="2:15" ht="19.5" customHeight="1" x14ac:dyDescent="0.15"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</row>
    <row r="10" spans="2:15" ht="19.5" customHeight="1" x14ac:dyDescent="0.15"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</row>
    <row r="11" spans="2:15" ht="19.5" customHeight="1" x14ac:dyDescent="0.15"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</row>
    <row r="12" spans="2:15" ht="28" x14ac:dyDescent="0.3">
      <c r="B12" s="48"/>
      <c r="C12" s="49" t="s">
        <v>51</v>
      </c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50" t="s">
        <v>41</v>
      </c>
      <c r="O12" s="48"/>
    </row>
    <row r="13" spans="2:15" ht="19.5" customHeight="1" x14ac:dyDescent="0.15">
      <c r="B13" s="48"/>
      <c r="C13" s="51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</row>
    <row r="14" spans="2:15" ht="19.5" customHeight="1" x14ac:dyDescent="0.15">
      <c r="B14" s="48"/>
      <c r="C14" s="52" t="s">
        <v>42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</row>
    <row r="15" spans="2:15" ht="19.5" customHeight="1" x14ac:dyDescent="0.2">
      <c r="B15" s="48"/>
      <c r="C15" s="53" t="str">
        <f ca="1">RIGHT(CELL("filename",Dashboard_2!A1),LEN(CELL("filename",Dashboard_2!A1))-FIND("]",CELL("filename",Dashboard_2!A1)))</f>
        <v>Dashboard_2</v>
      </c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</row>
    <row r="16" spans="2:15" ht="19.5" customHeight="1" x14ac:dyDescent="0.2">
      <c r="B16" s="48"/>
      <c r="C16" s="54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</row>
    <row r="17" spans="2:15" ht="19.5" customHeight="1" x14ac:dyDescent="0.2">
      <c r="B17" s="48"/>
      <c r="C17" s="54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</row>
    <row r="18" spans="2:15" ht="19.5" customHeight="1" x14ac:dyDescent="0.15"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</row>
    <row r="19" spans="2:15" ht="19.5" customHeight="1" x14ac:dyDescent="0.15">
      <c r="B19" s="48"/>
      <c r="C19" s="48" t="s">
        <v>43</v>
      </c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</row>
    <row r="20" spans="2:15" ht="19.5" customHeight="1" x14ac:dyDescent="0.15">
      <c r="B20" s="48"/>
      <c r="C20" s="55" t="s">
        <v>44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48"/>
    </row>
    <row r="21" spans="2:15" ht="19.5" customHeight="1" x14ac:dyDescent="0.15">
      <c r="B21" s="48"/>
      <c r="C21" s="48" t="s">
        <v>45</v>
      </c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</row>
    <row r="22" spans="2:15" ht="19.5" customHeight="1" x14ac:dyDescent="0.15">
      <c r="B22" s="48"/>
      <c r="C22" s="56" t="s">
        <v>46</v>
      </c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</row>
    <row r="23" spans="2:15" ht="19.5" customHeight="1" x14ac:dyDescent="0.15">
      <c r="B23" s="48"/>
      <c r="C23" s="56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</row>
    <row r="24" spans="2:15" ht="19.5" customHeight="1" x14ac:dyDescent="0.15">
      <c r="B24" s="48"/>
      <c r="C24" s="57" t="s">
        <v>47</v>
      </c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48"/>
    </row>
    <row r="25" spans="2:15" ht="19.5" customHeight="1" x14ac:dyDescent="0.15">
      <c r="B25" s="59"/>
      <c r="C25" s="57" t="s">
        <v>48</v>
      </c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9"/>
    </row>
    <row r="26" spans="2:15" ht="19.5" customHeight="1" x14ac:dyDescent="0.15">
      <c r="B26" s="59"/>
      <c r="C26" s="57" t="s">
        <v>49</v>
      </c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9"/>
    </row>
    <row r="27" spans="2:15" ht="19.5" customHeight="1" x14ac:dyDescent="0.15">
      <c r="B27" s="59"/>
      <c r="C27" s="57" t="s">
        <v>50</v>
      </c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9"/>
    </row>
    <row r="28" spans="2:15" ht="19.5" customHeight="1" x14ac:dyDescent="0.15">
      <c r="B28" s="59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9"/>
    </row>
    <row r="29" spans="2:15" ht="19.5" customHeight="1" x14ac:dyDescent="0.15"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</row>
    <row r="30" spans="2:15" ht="19.5" customHeight="1" x14ac:dyDescent="0.15"/>
    <row r="31" spans="2:15" ht="19.5" customHeight="1" x14ac:dyDescent="0.15"/>
    <row r="32" spans="2:15" ht="19.5" customHeight="1" x14ac:dyDescent="0.15"/>
    <row r="33" ht="19.5" customHeight="1" x14ac:dyDescent="0.15"/>
    <row r="34" ht="19.5" customHeight="1" x14ac:dyDescent="0.15"/>
    <row r="35" ht="19.5" customHeight="1" x14ac:dyDescent="0.15"/>
    <row r="36" ht="19.5" customHeight="1" x14ac:dyDescent="0.15"/>
    <row r="37" ht="19.5" customHeight="1" x14ac:dyDescent="0.15"/>
    <row r="38" ht="19.5" customHeight="1" x14ac:dyDescent="0.15"/>
    <row r="39" ht="19.5" customHeight="1" x14ac:dyDescent="0.15"/>
    <row r="40" ht="19.5" customHeight="1" x14ac:dyDescent="0.15"/>
    <row r="41" ht="19.5" customHeight="1" x14ac:dyDescent="0.15"/>
    <row r="42" ht="19.5" customHeight="1" x14ac:dyDescent="0.15"/>
    <row r="43" ht="19.5" customHeight="1" x14ac:dyDescent="0.15"/>
    <row r="44" ht="19.5" customHeight="1" x14ac:dyDescent="0.15"/>
    <row r="45" ht="19.5" customHeight="1" x14ac:dyDescent="0.15"/>
    <row r="46" ht="19.5" customHeight="1" x14ac:dyDescent="0.15"/>
  </sheetData>
  <hyperlinks>
    <hyperlink ref="C15" location="Dashboard_2!A1" display="Dashboard_2!A1" xr:uid="{AE0D8FA3-2980-4356-8647-C2CDDE1D7244}"/>
    <hyperlink ref="C22" r:id="rId1" xr:uid="{2F05C2AB-59DB-4CD9-87C0-CF406DD02117}"/>
  </hyperlinks>
  <pageMargins left="0.7" right="0.7" top="0.75" bottom="0.75" header="0.3" footer="0.3"/>
  <pageSetup scale="6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4"/>
  <sheetViews>
    <sheetView showGridLines="0" tabSelected="1" zoomScale="118" zoomScaleNormal="64" zoomScaleSheetLayoutView="70" workbookViewId="0">
      <selection activeCell="O40" sqref="O40"/>
    </sheetView>
  </sheetViews>
  <sheetFormatPr baseColWidth="10" defaultColWidth="8.83203125" defaultRowHeight="15" x14ac:dyDescent="0.2"/>
  <cols>
    <col min="1" max="1" width="6.1640625" style="2" customWidth="1"/>
    <col min="2" max="2" width="9.5" style="2" customWidth="1"/>
    <col min="3" max="3" width="8" style="2" customWidth="1"/>
    <col min="4" max="4" width="14.1640625" style="2" customWidth="1"/>
    <col min="5" max="5" width="11.1640625" style="2" customWidth="1"/>
    <col min="6" max="6" width="13.5" style="2" customWidth="1"/>
    <col min="7" max="7" width="4.5" style="2" customWidth="1"/>
    <col min="8" max="8" width="9" style="2" customWidth="1"/>
    <col min="9" max="9" width="9.5" style="2" customWidth="1"/>
    <col min="10" max="10" width="11.5" style="2" customWidth="1"/>
    <col min="11" max="11" width="11" style="2" customWidth="1"/>
    <col min="12" max="12" width="10" style="2" customWidth="1"/>
    <col min="13" max="13" width="13.83203125" style="2" customWidth="1"/>
    <col min="14" max="14" width="7.1640625" style="2" customWidth="1"/>
    <col min="15" max="15" width="9.83203125" style="2" bestFit="1" customWidth="1"/>
    <col min="16" max="16" width="8.83203125" style="2" customWidth="1"/>
    <col min="17" max="17" width="7.5" style="2" customWidth="1"/>
    <col min="18" max="20" width="13.5" style="2" customWidth="1"/>
    <col min="21" max="21" width="12" style="2" bestFit="1" customWidth="1"/>
    <col min="22" max="29" width="13.83203125" style="2" customWidth="1"/>
    <col min="30" max="30" width="9" style="2" bestFit="1" customWidth="1"/>
    <col min="31" max="16384" width="8.83203125" style="2"/>
  </cols>
  <sheetData>
    <row r="1" spans="1:29" ht="15" customHeight="1" x14ac:dyDescent="0.2">
      <c r="A1" s="2" t="s">
        <v>40</v>
      </c>
      <c r="B1" s="22" t="s">
        <v>27</v>
      </c>
      <c r="D1" s="1"/>
      <c r="AC1" s="3"/>
    </row>
    <row r="2" spans="1:29" ht="24" thickBot="1" x14ac:dyDescent="0.35">
      <c r="B2" s="27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29" ht="24.5" customHeight="1" x14ac:dyDescent="0.2"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</row>
    <row r="4" spans="1:29" ht="23.25" customHeight="1" x14ac:dyDescent="0.2">
      <c r="B4" s="28" t="s">
        <v>20</v>
      </c>
      <c r="C4" s="28"/>
      <c r="D4" s="28"/>
      <c r="E4" s="28"/>
      <c r="F4" s="28"/>
      <c r="G4"/>
      <c r="H4" s="28" t="s">
        <v>21</v>
      </c>
      <c r="I4" s="28"/>
      <c r="J4" s="28"/>
      <c r="K4" s="28"/>
      <c r="L4" s="28"/>
      <c r="M4" s="28"/>
      <c r="Q4" s="38" t="s">
        <v>2</v>
      </c>
      <c r="T4" s="36" t="s">
        <v>8</v>
      </c>
      <c r="U4" s="60"/>
      <c r="V4" s="36"/>
      <c r="W4" s="36"/>
      <c r="X4" s="36"/>
      <c r="Y4" s="37" t="s">
        <v>9</v>
      </c>
      <c r="Z4" s="37"/>
      <c r="AA4" s="37"/>
      <c r="AB4" s="37"/>
      <c r="AC4" s="37"/>
    </row>
    <row r="5" spans="1:29" ht="15.5" customHeight="1" x14ac:dyDescent="0.2">
      <c r="L5" s="5"/>
      <c r="M5" s="5"/>
      <c r="T5" s="33">
        <v>2014</v>
      </c>
      <c r="U5" s="33">
        <v>2015</v>
      </c>
      <c r="V5" s="33">
        <v>2016</v>
      </c>
      <c r="W5" s="33">
        <v>2017</v>
      </c>
      <c r="X5" s="33">
        <v>2018</v>
      </c>
      <c r="Y5" s="34">
        <v>2019</v>
      </c>
      <c r="Z5" s="34">
        <v>2020</v>
      </c>
      <c r="AA5" s="34">
        <v>2021</v>
      </c>
      <c r="AB5" s="34">
        <v>2022</v>
      </c>
      <c r="AC5" s="34">
        <v>2023</v>
      </c>
    </row>
    <row r="6" spans="1:29" ht="15.5" customHeight="1" x14ac:dyDescent="0.2">
      <c r="L6" s="5"/>
      <c r="M6" s="5"/>
      <c r="Q6" s="61" t="s">
        <v>0</v>
      </c>
    </row>
    <row r="7" spans="1:29" ht="15.5" customHeight="1" x14ac:dyDescent="0.2">
      <c r="L7" s="5"/>
      <c r="M7" s="5"/>
      <c r="Q7" s="17" t="s">
        <v>5</v>
      </c>
      <c r="T7" s="8">
        <v>102007</v>
      </c>
      <c r="U7" s="8">
        <v>118086</v>
      </c>
      <c r="V7" s="8">
        <v>131345</v>
      </c>
      <c r="W7" s="8">
        <v>142341</v>
      </c>
      <c r="X7" s="8">
        <v>150772</v>
      </c>
      <c r="Y7" s="8">
        <v>165849.20000000001</v>
      </c>
      <c r="Z7" s="8">
        <v>182434.12000000002</v>
      </c>
      <c r="AA7" s="8">
        <v>200677.53200000004</v>
      </c>
      <c r="AB7" s="8">
        <v>220745.28520000007</v>
      </c>
      <c r="AC7" s="8">
        <v>242819.81372000009</v>
      </c>
    </row>
    <row r="8" spans="1:29" ht="15.5" customHeight="1" x14ac:dyDescent="0.2">
      <c r="L8" s="5"/>
      <c r="M8" s="5"/>
      <c r="Q8" s="17" t="s">
        <v>6</v>
      </c>
      <c r="T8" s="8">
        <v>156387</v>
      </c>
      <c r="U8" s="8">
        <v>158882</v>
      </c>
      <c r="V8" s="8">
        <v>160034</v>
      </c>
      <c r="W8" s="8">
        <v>174988</v>
      </c>
      <c r="X8" s="8">
        <v>191520</v>
      </c>
      <c r="Y8" s="8">
        <v>192654</v>
      </c>
      <c r="Z8" s="8">
        <v>193569</v>
      </c>
      <c r="AA8" s="8">
        <v>197535</v>
      </c>
      <c r="AB8" s="8">
        <v>205123.64147712005</v>
      </c>
      <c r="AC8" s="8">
        <v>221533.53279528968</v>
      </c>
    </row>
    <row r="9" spans="1:29" ht="15.5" customHeight="1" x14ac:dyDescent="0.2">
      <c r="L9" s="5"/>
      <c r="M9" s="5"/>
      <c r="Q9" s="17" t="s">
        <v>7</v>
      </c>
      <c r="T9" s="9">
        <v>134622</v>
      </c>
      <c r="U9" s="9">
        <v>138520</v>
      </c>
      <c r="V9" s="9">
        <v>143362</v>
      </c>
      <c r="W9" s="9">
        <v>145897</v>
      </c>
      <c r="X9" s="8">
        <v>148631</v>
      </c>
      <c r="Y9" s="8">
        <v>158310.6</v>
      </c>
      <c r="Z9" s="9">
        <v>166226.13</v>
      </c>
      <c r="AA9" s="9">
        <v>174537.43650000001</v>
      </c>
      <c r="AB9" s="9">
        <v>183264.30832500002</v>
      </c>
      <c r="AC9" s="9">
        <v>192427.52374125004</v>
      </c>
    </row>
    <row r="10" spans="1:29" ht="15.5" customHeight="1" x14ac:dyDescent="0.2">
      <c r="Q10" s="2" t="s">
        <v>4</v>
      </c>
      <c r="T10" s="21">
        <f>SUM(T7:T9)</f>
        <v>393016</v>
      </c>
      <c r="U10" s="21">
        <f t="shared" ref="U10:AC10" si="0">SUM(U7:U9)</f>
        <v>415488</v>
      </c>
      <c r="V10" s="21">
        <f t="shared" si="0"/>
        <v>434741</v>
      </c>
      <c r="W10" s="21">
        <f t="shared" si="0"/>
        <v>463226</v>
      </c>
      <c r="X10" s="29">
        <f t="shared" si="0"/>
        <v>490923</v>
      </c>
      <c r="Y10" s="29">
        <f t="shared" si="0"/>
        <v>516813.80000000005</v>
      </c>
      <c r="Z10" s="21">
        <f t="shared" si="0"/>
        <v>542229.25</v>
      </c>
      <c r="AA10" s="21">
        <f t="shared" si="0"/>
        <v>572749.96849999996</v>
      </c>
      <c r="AB10" s="21">
        <f t="shared" si="0"/>
        <v>609133.23500212014</v>
      </c>
      <c r="AC10" s="21">
        <f t="shared" si="0"/>
        <v>656780.87025653978</v>
      </c>
    </row>
    <row r="11" spans="1:29" ht="15.5" customHeight="1" x14ac:dyDescent="0.2">
      <c r="T11" s="9"/>
      <c r="U11" s="9"/>
      <c r="V11" s="9"/>
      <c r="W11" s="9"/>
      <c r="X11" s="8"/>
      <c r="Y11" s="8"/>
      <c r="Z11" s="9"/>
      <c r="AA11" s="9"/>
      <c r="AB11" s="9"/>
      <c r="AC11" s="9"/>
    </row>
    <row r="12" spans="1:29" ht="16.25" customHeight="1" x14ac:dyDescent="0.2">
      <c r="Q12" s="2" t="s">
        <v>18</v>
      </c>
      <c r="T12" s="9">
        <v>207069</v>
      </c>
      <c r="U12" s="9">
        <v>206012</v>
      </c>
      <c r="V12" s="9">
        <v>218369</v>
      </c>
      <c r="W12" s="9">
        <v>227962</v>
      </c>
      <c r="X12" s="8">
        <v>243130</v>
      </c>
      <c r="Y12" s="8">
        <v>259866</v>
      </c>
      <c r="Z12" s="9">
        <v>265967</v>
      </c>
      <c r="AA12" s="9">
        <v>278999</v>
      </c>
      <c r="AB12" s="9">
        <v>289645</v>
      </c>
      <c r="AC12" s="9">
        <v>296333</v>
      </c>
    </row>
    <row r="13" spans="1:29" ht="16.25" customHeight="1" x14ac:dyDescent="0.2">
      <c r="B13" s="12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 spans="1:29" ht="16.25" customHeight="1" x14ac:dyDescent="0.2"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Q14" s="2" t="s">
        <v>3</v>
      </c>
      <c r="T14" s="21">
        <f>T10-T12-T24</f>
        <v>26063</v>
      </c>
      <c r="U14" s="21">
        <f>U10-U12-U24</f>
        <v>34177</v>
      </c>
      <c r="V14" s="21">
        <f>V10-V12-V24</f>
        <v>43380</v>
      </c>
      <c r="W14" s="21">
        <f>W10-W12-W24</f>
        <v>64067.5</v>
      </c>
      <c r="X14" s="29">
        <f>X10-X12-X24</f>
        <v>70080.649999999994</v>
      </c>
      <c r="Y14" s="40"/>
      <c r="Z14" s="41"/>
      <c r="AA14" s="41"/>
      <c r="AB14" s="41"/>
      <c r="AC14" s="41"/>
    </row>
    <row r="15" spans="1:29" ht="15.5" customHeight="1" x14ac:dyDescent="0.2">
      <c r="Q15" s="2" t="s">
        <v>10</v>
      </c>
      <c r="T15" s="19">
        <f>T14/T10</f>
        <v>6.6315366295519776E-2</v>
      </c>
      <c r="U15" s="19">
        <f>U14/U10</f>
        <v>8.2257489987677138E-2</v>
      </c>
      <c r="V15" s="19">
        <f>V14/V10</f>
        <v>9.9783549285666642E-2</v>
      </c>
      <c r="W15" s="19">
        <f>W14/W10</f>
        <v>0.1383072193702426</v>
      </c>
      <c r="X15" s="30">
        <f>X14/X10</f>
        <v>0.14275283496597224</v>
      </c>
      <c r="Y15" s="42"/>
      <c r="Z15" s="43"/>
      <c r="AA15" s="43"/>
      <c r="AB15" s="43"/>
      <c r="AC15" s="43"/>
    </row>
    <row r="16" spans="1:29" ht="24.5" customHeight="1" x14ac:dyDescent="0.2">
      <c r="Q16" s="2" t="s">
        <v>11</v>
      </c>
      <c r="T16" s="44"/>
      <c r="U16" s="44"/>
      <c r="V16" s="44"/>
      <c r="W16" s="44"/>
      <c r="X16" s="45"/>
      <c r="Y16" s="29">
        <f>Y10-Y12-Y24</f>
        <v>77615.140200000023</v>
      </c>
      <c r="Z16" s="21">
        <f>Z10-Z12-Z24</f>
        <v>86965.275205999991</v>
      </c>
      <c r="AA16" s="21">
        <f>AA10-AA12-AA24</f>
        <v>89178.289719779976</v>
      </c>
      <c r="AB16" s="21">
        <f>AB10-AB12-AB24</f>
        <v>107712.0605543695</v>
      </c>
      <c r="AC16" s="21">
        <f>AC10-AC12-AC24</f>
        <v>126070.04030503504</v>
      </c>
    </row>
    <row r="17" spans="2:29" ht="23.25" customHeight="1" x14ac:dyDescent="0.2">
      <c r="B17" s="28" t="s">
        <v>22</v>
      </c>
      <c r="C17" s="28"/>
      <c r="D17" s="28"/>
      <c r="E17" s="28"/>
      <c r="F17" s="28"/>
      <c r="G17"/>
      <c r="H17" s="28" t="s">
        <v>23</v>
      </c>
      <c r="I17" s="28"/>
      <c r="J17" s="28"/>
      <c r="K17" s="28"/>
      <c r="L17" s="28"/>
      <c r="M17" s="28"/>
      <c r="Q17" s="2" t="s">
        <v>12</v>
      </c>
      <c r="T17" s="44"/>
      <c r="U17" s="44"/>
      <c r="V17" s="44"/>
      <c r="W17" s="44"/>
      <c r="X17" s="45"/>
      <c r="Y17" s="32">
        <f>Y16/Y10</f>
        <v>0.1501800845875246</v>
      </c>
      <c r="Z17" s="20">
        <f>Z16/Z10</f>
        <v>0.16038469928724794</v>
      </c>
      <c r="AA17" s="20">
        <f>AA16/AA10</f>
        <v>0.15570195482215898</v>
      </c>
      <c r="AB17" s="20">
        <f>AB16/AB10</f>
        <v>0.17682840857303508</v>
      </c>
      <c r="AC17" s="20">
        <f>AC16/AC10</f>
        <v>0.19195144988889803</v>
      </c>
    </row>
    <row r="18" spans="2:29" ht="15" customHeight="1" x14ac:dyDescent="0.2"/>
    <row r="19" spans="2:29" ht="15.5" customHeight="1" x14ac:dyDescent="0.2">
      <c r="Q19" s="6" t="s">
        <v>13</v>
      </c>
    </row>
    <row r="20" spans="2:29" ht="15.5" customHeight="1" x14ac:dyDescent="0.2">
      <c r="Q20" s="7" t="s">
        <v>14</v>
      </c>
      <c r="T20" s="9">
        <v>70854</v>
      </c>
      <c r="U20" s="9">
        <v>77974</v>
      </c>
      <c r="V20" s="9">
        <v>81616</v>
      </c>
      <c r="W20" s="9">
        <v>79006</v>
      </c>
      <c r="X20" s="8">
        <v>85735</v>
      </c>
      <c r="Y20" s="8">
        <v>93251.030800000008</v>
      </c>
      <c r="Z20" s="9">
        <v>99602.602844000008</v>
      </c>
      <c r="AA20" s="9">
        <v>109483.06949451999</v>
      </c>
      <c r="AB20" s="9">
        <v>113938.60019863164</v>
      </c>
      <c r="AC20" s="9">
        <v>122019.53279673966</v>
      </c>
    </row>
    <row r="21" spans="2:29" ht="15.5" customHeight="1" x14ac:dyDescent="0.2">
      <c r="B21" s="12"/>
      <c r="Q21" s="7" t="s">
        <v>15</v>
      </c>
      <c r="T21" s="9">
        <v>32789</v>
      </c>
      <c r="U21" s="9">
        <v>35375</v>
      </c>
      <c r="V21" s="9">
        <v>35261</v>
      </c>
      <c r="W21" s="9">
        <v>38060</v>
      </c>
      <c r="X21" s="8">
        <v>39236</v>
      </c>
      <c r="Y21" s="8">
        <v>41211</v>
      </c>
      <c r="Z21" s="9">
        <v>40518</v>
      </c>
      <c r="AA21" s="9">
        <v>43010</v>
      </c>
      <c r="AB21" s="9">
        <v>43800</v>
      </c>
      <c r="AC21" s="9">
        <v>55000</v>
      </c>
    </row>
    <row r="22" spans="2:29" ht="15.5" customHeight="1" x14ac:dyDescent="0.2">
      <c r="B22" s="12"/>
      <c r="Q22" s="7" t="s">
        <v>16</v>
      </c>
      <c r="T22" s="9">
        <v>48741</v>
      </c>
      <c r="U22" s="9">
        <v>54450</v>
      </c>
      <c r="V22" s="9">
        <v>51615</v>
      </c>
      <c r="W22" s="9">
        <v>49630.5</v>
      </c>
      <c r="X22" s="8">
        <v>48241.35</v>
      </c>
      <c r="Y22" s="8">
        <v>36770.629000000001</v>
      </c>
      <c r="Z22" s="9">
        <v>41076.371950000001</v>
      </c>
      <c r="AA22" s="9">
        <v>43979.609285700004</v>
      </c>
      <c r="AB22" s="9">
        <v>45937.574249118996</v>
      </c>
      <c r="AC22" s="9">
        <v>47258.297154765089</v>
      </c>
    </row>
    <row r="23" spans="2:29" ht="23.25" customHeight="1" x14ac:dyDescent="0.2">
      <c r="N23" s="5"/>
      <c r="Q23" s="7" t="s">
        <v>17</v>
      </c>
      <c r="T23" s="9">
        <v>7500</v>
      </c>
      <c r="U23" s="9">
        <v>7500</v>
      </c>
      <c r="V23" s="9">
        <v>4500</v>
      </c>
      <c r="W23" s="9">
        <v>4500</v>
      </c>
      <c r="X23" s="8">
        <v>4500</v>
      </c>
      <c r="Y23" s="8">
        <v>8100</v>
      </c>
      <c r="Z23" s="9">
        <v>8100</v>
      </c>
      <c r="AA23" s="9">
        <v>8100</v>
      </c>
      <c r="AB23" s="9">
        <v>8100</v>
      </c>
      <c r="AC23" s="9">
        <v>10100</v>
      </c>
    </row>
    <row r="24" spans="2:29" ht="15.5" customHeight="1" x14ac:dyDescent="0.2">
      <c r="Q24" s="7" t="s">
        <v>19</v>
      </c>
      <c r="T24" s="11">
        <f t="shared" ref="T24:AC24" si="1">SUM(T20:T23)</f>
        <v>159884</v>
      </c>
      <c r="U24" s="11">
        <f t="shared" si="1"/>
        <v>175299</v>
      </c>
      <c r="V24" s="11">
        <f t="shared" si="1"/>
        <v>172992</v>
      </c>
      <c r="W24" s="11">
        <f t="shared" si="1"/>
        <v>171196.5</v>
      </c>
      <c r="X24" s="31">
        <f t="shared" si="1"/>
        <v>177712.35</v>
      </c>
      <c r="Y24" s="31">
        <f t="shared" si="1"/>
        <v>179332.65980000002</v>
      </c>
      <c r="Z24" s="11">
        <f t="shared" si="1"/>
        <v>189296.97479400001</v>
      </c>
      <c r="AA24" s="11">
        <f t="shared" si="1"/>
        <v>204572.67878021998</v>
      </c>
      <c r="AB24" s="11">
        <f t="shared" si="1"/>
        <v>211776.17444775064</v>
      </c>
      <c r="AC24" s="11">
        <f t="shared" si="1"/>
        <v>234377.82995150474</v>
      </c>
    </row>
    <row r="25" spans="2:29" ht="15.5" customHeight="1" x14ac:dyDescent="0.2"/>
    <row r="26" spans="2:29" ht="15.5" customHeight="1" x14ac:dyDescent="0.2">
      <c r="Q26" s="6" t="s">
        <v>26</v>
      </c>
      <c r="T26" s="39"/>
      <c r="U26" s="39"/>
      <c r="V26" s="39"/>
      <c r="W26" s="39"/>
      <c r="Y26" s="39"/>
      <c r="Z26" s="39"/>
      <c r="AA26" s="39"/>
      <c r="AB26" s="39"/>
      <c r="AC26" s="39"/>
    </row>
    <row r="27" spans="2:29" ht="15.5" customHeight="1" x14ac:dyDescent="0.2">
      <c r="Q27" s="15" t="s">
        <v>0</v>
      </c>
      <c r="T27" s="44"/>
      <c r="U27" s="44"/>
      <c r="V27" s="44"/>
      <c r="W27" s="44"/>
      <c r="X27" s="16">
        <v>475000</v>
      </c>
      <c r="Y27" s="44"/>
      <c r="Z27" s="44"/>
      <c r="AA27" s="44"/>
      <c r="AB27" s="44"/>
      <c r="AC27" s="44"/>
    </row>
    <row r="28" spans="2:29" ht="15.5" customHeight="1" x14ac:dyDescent="0.2">
      <c r="Q28" s="15" t="s">
        <v>18</v>
      </c>
      <c r="T28" s="44"/>
      <c r="U28" s="44"/>
      <c r="V28" s="44"/>
      <c r="W28" s="44"/>
      <c r="X28" s="16">
        <v>238000</v>
      </c>
      <c r="Y28" s="44"/>
      <c r="Z28" s="44"/>
      <c r="AA28" s="44"/>
      <c r="AB28" s="44"/>
      <c r="AC28" s="44"/>
    </row>
    <row r="29" spans="2:29" ht="24.5" customHeight="1" x14ac:dyDescent="0.2">
      <c r="P29" s="13"/>
      <c r="Q29" s="15" t="s">
        <v>13</v>
      </c>
      <c r="T29" s="44"/>
      <c r="U29" s="44"/>
      <c r="V29" s="44"/>
      <c r="W29" s="44"/>
      <c r="X29" s="16">
        <v>186000</v>
      </c>
      <c r="Y29" s="44"/>
      <c r="Z29" s="44"/>
      <c r="AA29" s="44"/>
      <c r="AB29" s="44"/>
      <c r="AC29" s="44"/>
    </row>
    <row r="30" spans="2:29" ht="23.25" customHeight="1" x14ac:dyDescent="0.2">
      <c r="B30" s="28" t="s">
        <v>25</v>
      </c>
      <c r="C30" s="28"/>
      <c r="D30" s="28"/>
      <c r="E30" s="28"/>
      <c r="F30" s="28"/>
      <c r="G30"/>
      <c r="H30" s="28" t="s">
        <v>24</v>
      </c>
      <c r="I30" s="28"/>
      <c r="J30" s="28"/>
      <c r="K30" s="28"/>
      <c r="L30" s="28"/>
      <c r="M30" s="28"/>
      <c r="P30" s="6"/>
      <c r="Q30" s="15" t="s">
        <v>3</v>
      </c>
      <c r="T30" s="44"/>
      <c r="U30" s="44"/>
      <c r="V30" s="44"/>
      <c r="W30" s="44"/>
      <c r="X30" s="16">
        <v>73500</v>
      </c>
      <c r="Y30" s="44"/>
      <c r="Z30" s="44"/>
      <c r="AA30" s="44"/>
      <c r="AB30" s="44"/>
      <c r="AC30" s="44"/>
    </row>
    <row r="31" spans="2:29" ht="16.25" customHeight="1" x14ac:dyDescent="0.2">
      <c r="B31" s="23"/>
      <c r="C31"/>
      <c r="D31" t="s">
        <v>52</v>
      </c>
      <c r="E31" s="26" t="s">
        <v>53</v>
      </c>
      <c r="F31" s="26"/>
      <c r="H31"/>
      <c r="I31"/>
      <c r="J31" s="67" t="s">
        <v>55</v>
      </c>
      <c r="K31" s="67" t="s">
        <v>56</v>
      </c>
      <c r="L31" s="67" t="s">
        <v>57</v>
      </c>
      <c r="M31" s="67" t="s">
        <v>58</v>
      </c>
      <c r="P31" s="15"/>
      <c r="Q31" s="15" t="s">
        <v>10</v>
      </c>
      <c r="T31" s="44"/>
      <c r="U31" s="44"/>
      <c r="V31" s="44"/>
      <c r="W31" s="44"/>
      <c r="X31" s="18">
        <f>X30/X27</f>
        <v>0.15473684210526314</v>
      </c>
      <c r="Y31" s="44"/>
      <c r="Z31" s="44"/>
      <c r="AA31" s="44"/>
      <c r="AB31" s="44"/>
      <c r="AC31" s="44"/>
    </row>
    <row r="32" spans="2:29" ht="23.5" customHeight="1" x14ac:dyDescent="0.2">
      <c r="B32" s="23"/>
      <c r="C32" s="63" t="s">
        <v>0</v>
      </c>
      <c r="D32" s="65">
        <f>AVERAGE(T10:X10)</f>
        <v>439478.8</v>
      </c>
      <c r="E32" s="62"/>
      <c r="F32" s="62"/>
      <c r="G32"/>
      <c r="H32"/>
      <c r="I32" s="63" t="s">
        <v>0</v>
      </c>
      <c r="J32" s="69">
        <f>X10</f>
        <v>490923</v>
      </c>
      <c r="K32" s="69">
        <f>X27</f>
        <v>475000</v>
      </c>
      <c r="L32" s="69">
        <f>J32-K32</f>
        <v>15923</v>
      </c>
      <c r="M32" s="71">
        <f>J32/K32-1</f>
        <v>3.3522105263157798E-2</v>
      </c>
      <c r="P32" s="15"/>
    </row>
    <row r="33" spans="2:29" ht="5.5" customHeight="1" x14ac:dyDescent="0.2">
      <c r="B33" s="23"/>
      <c r="C33" s="63"/>
      <c r="D33" s="66"/>
      <c r="E33"/>
      <c r="F33"/>
      <c r="G33"/>
      <c r="H33"/>
      <c r="I33" s="63"/>
      <c r="J33" s="70"/>
      <c r="K33" s="70"/>
      <c r="L33" s="70"/>
      <c r="M33" s="72"/>
      <c r="P33" s="15"/>
    </row>
    <row r="34" spans="2:29" ht="23.5" customHeight="1" x14ac:dyDescent="0.2">
      <c r="B34" s="23"/>
      <c r="C34" s="63" t="s">
        <v>18</v>
      </c>
      <c r="D34" s="66">
        <f>AVERAGE(T12:X12)</f>
        <v>220508.4</v>
      </c>
      <c r="E34"/>
      <c r="F34"/>
      <c r="H34"/>
      <c r="I34" s="63" t="s">
        <v>18</v>
      </c>
      <c r="J34" s="70">
        <f>X12</f>
        <v>243130</v>
      </c>
      <c r="K34" s="70">
        <f>X28</f>
        <v>238000</v>
      </c>
      <c r="L34" s="70">
        <f>J34-K34</f>
        <v>5130</v>
      </c>
      <c r="M34" s="72">
        <f>J34/K34-1</f>
        <v>2.1554621848739464E-2</v>
      </c>
      <c r="P34" s="15"/>
      <c r="Q34" s="6" t="s">
        <v>39</v>
      </c>
      <c r="R34" s="14"/>
    </row>
    <row r="35" spans="2:29" ht="5.5" customHeight="1" x14ac:dyDescent="0.2">
      <c r="B35" s="23"/>
      <c r="C35" s="63"/>
      <c r="D35" s="66"/>
      <c r="E35"/>
      <c r="F35"/>
      <c r="H35"/>
      <c r="I35" s="63"/>
      <c r="J35" s="70"/>
      <c r="K35" s="70"/>
      <c r="L35" s="70"/>
      <c r="M35" s="72"/>
      <c r="P35" s="15"/>
      <c r="Q35" s="6"/>
      <c r="R35" s="14"/>
    </row>
    <row r="36" spans="2:29" ht="23.5" customHeight="1" x14ac:dyDescent="0.2">
      <c r="B36" s="24"/>
      <c r="C36" s="63" t="s">
        <v>13</v>
      </c>
      <c r="D36" s="66">
        <f>AVERAGE(T24:X24)</f>
        <v>171416.77</v>
      </c>
      <c r="E36"/>
      <c r="F36"/>
      <c r="H36"/>
      <c r="I36" s="63" t="s">
        <v>13</v>
      </c>
      <c r="J36" s="70">
        <f>X24</f>
        <v>177712.35</v>
      </c>
      <c r="K36" s="70">
        <f>X29</f>
        <v>186000</v>
      </c>
      <c r="L36" s="70">
        <f>J36-K36</f>
        <v>-8287.6499999999942</v>
      </c>
      <c r="M36" s="72">
        <f>J36/K36-1</f>
        <v>-4.4557258064516048E-2</v>
      </c>
      <c r="P36" s="15"/>
      <c r="Q36" s="6" t="s">
        <v>28</v>
      </c>
      <c r="T36" s="44"/>
      <c r="U36" s="44"/>
      <c r="V36" s="44"/>
      <c r="W36" s="44"/>
      <c r="Y36" s="44"/>
      <c r="Z36" s="44"/>
      <c r="AA36" s="44"/>
      <c r="AB36" s="44"/>
      <c r="AC36" s="44"/>
    </row>
    <row r="37" spans="2:29" ht="5.5" customHeight="1" x14ac:dyDescent="0.2">
      <c r="B37" s="24"/>
      <c r="C37" s="63"/>
      <c r="D37" s="66"/>
      <c r="E37"/>
      <c r="F37"/>
      <c r="H37"/>
      <c r="I37" s="63"/>
      <c r="J37" s="70"/>
      <c r="K37" s="70"/>
      <c r="L37" s="70"/>
      <c r="M37" s="72"/>
      <c r="P37" s="15"/>
      <c r="T37" s="44"/>
      <c r="U37" s="44"/>
      <c r="V37" s="44"/>
      <c r="W37" s="44"/>
      <c r="Y37" s="44"/>
      <c r="Z37" s="44"/>
      <c r="AA37" s="44"/>
      <c r="AB37" s="44"/>
      <c r="AC37" s="44"/>
    </row>
    <row r="38" spans="2:29" ht="23.5" customHeight="1" x14ac:dyDescent="0.2">
      <c r="B38" s="24"/>
      <c r="C38" s="63" t="s">
        <v>3</v>
      </c>
      <c r="D38" s="66">
        <f>AVERAGE(T14:X14)</f>
        <v>47553.63</v>
      </c>
      <c r="E38"/>
      <c r="F38"/>
      <c r="H38"/>
      <c r="I38" s="63" t="s">
        <v>3</v>
      </c>
      <c r="J38" s="70">
        <f>X14</f>
        <v>70080.649999999994</v>
      </c>
      <c r="K38" s="70">
        <f>X30</f>
        <v>73500</v>
      </c>
      <c r="L38" s="70">
        <f>J38-K38</f>
        <v>-3419.3500000000058</v>
      </c>
      <c r="M38" s="72">
        <f>J38/K38-1</f>
        <v>-4.6521768707483035E-2</v>
      </c>
      <c r="Q38" s="2" t="s">
        <v>29</v>
      </c>
      <c r="T38" s="44"/>
      <c r="U38" s="44"/>
      <c r="V38" s="44"/>
      <c r="W38" s="44"/>
      <c r="X38" s="16">
        <v>395685</v>
      </c>
      <c r="Y38" s="44"/>
      <c r="Z38" s="44"/>
      <c r="AA38" s="44"/>
      <c r="AB38" s="44"/>
      <c r="AC38" s="44"/>
    </row>
    <row r="39" spans="2:29" ht="5.5" customHeight="1" x14ac:dyDescent="0.2">
      <c r="B39" s="24"/>
      <c r="C39" s="63"/>
      <c r="D39"/>
      <c r="F39"/>
      <c r="H39"/>
      <c r="I39" s="63"/>
      <c r="J39"/>
      <c r="K39"/>
      <c r="L39"/>
      <c r="M39" s="72"/>
      <c r="T39" s="44"/>
      <c r="U39" s="44"/>
      <c r="V39" s="44"/>
      <c r="W39" s="44"/>
      <c r="X39" s="16"/>
      <c r="Y39" s="44"/>
      <c r="Z39" s="44"/>
      <c r="AA39" s="44"/>
      <c r="AB39" s="44"/>
      <c r="AC39" s="44"/>
    </row>
    <row r="40" spans="2:29" ht="23.5" customHeight="1" x14ac:dyDescent="0.2">
      <c r="B40" s="24"/>
      <c r="C40" s="63" t="s">
        <v>54</v>
      </c>
      <c r="D40" s="64">
        <f>D38/D32</f>
        <v>0.1082046050913036</v>
      </c>
      <c r="E40"/>
      <c r="F40"/>
      <c r="H40"/>
      <c r="I40" s="63" t="s">
        <v>54</v>
      </c>
      <c r="J40" s="68">
        <f>X15</f>
        <v>0.14275283496597224</v>
      </c>
      <c r="K40" s="68">
        <f>X31</f>
        <v>0.15473684210526314</v>
      </c>
      <c r="L40" s="64">
        <f>J40-K40</f>
        <v>-1.1984007139290903E-2</v>
      </c>
      <c r="M40" s="72">
        <f>J40/K40-1</f>
        <v>-7.7447665185893633E-2</v>
      </c>
      <c r="Q40" s="2" t="s">
        <v>30</v>
      </c>
      <c r="T40" s="46"/>
      <c r="U40" s="44"/>
      <c r="V40" s="44"/>
      <c r="W40" s="44"/>
      <c r="X40" s="16">
        <v>589610</v>
      </c>
      <c r="Y40" s="44"/>
      <c r="Z40" s="44"/>
      <c r="AA40" s="44"/>
      <c r="AB40" s="44"/>
      <c r="AC40" s="44"/>
    </row>
    <row r="41" spans="2:29" ht="24.5" customHeight="1" x14ac:dyDescent="0.2">
      <c r="H41" s="25"/>
      <c r="I41" s="25"/>
      <c r="Q41" s="2" t="s">
        <v>31</v>
      </c>
      <c r="T41" s="44"/>
      <c r="U41" s="44"/>
      <c r="V41" s="44"/>
      <c r="W41" s="44"/>
      <c r="X41" s="11">
        <f>SUM(X38:X40)</f>
        <v>985295</v>
      </c>
      <c r="Y41" s="44"/>
      <c r="Z41" s="44"/>
      <c r="AA41" s="44"/>
      <c r="AB41" s="44"/>
      <c r="AC41" s="44"/>
    </row>
    <row r="42" spans="2:29" ht="23.25" customHeight="1" x14ac:dyDescent="0.2">
      <c r="B42" s="28" t="s">
        <v>37</v>
      </c>
      <c r="C42" s="28"/>
      <c r="D42" s="28"/>
      <c r="E42" s="28"/>
      <c r="F42" s="28"/>
      <c r="H42" s="28" t="s">
        <v>38</v>
      </c>
      <c r="I42" s="28"/>
      <c r="J42" s="28"/>
      <c r="K42" s="28"/>
      <c r="L42" s="28"/>
      <c r="M42" s="28"/>
      <c r="N42" s="5"/>
      <c r="Q42" s="6" t="s">
        <v>32</v>
      </c>
      <c r="T42" s="44"/>
      <c r="U42" s="44"/>
      <c r="V42" s="44"/>
      <c r="W42" s="44"/>
      <c r="Y42" s="44"/>
      <c r="Z42" s="44"/>
      <c r="AA42" s="44"/>
      <c r="AB42" s="44"/>
      <c r="AC42" s="44"/>
    </row>
    <row r="43" spans="2:29" ht="16.5" customHeight="1" x14ac:dyDescent="0.2">
      <c r="B43" s="73" t="s">
        <v>0</v>
      </c>
      <c r="C43"/>
      <c r="D43"/>
      <c r="E43"/>
      <c r="F43" s="78">
        <f>X10</f>
        <v>490923</v>
      </c>
      <c r="G43"/>
      <c r="H43" s="73" t="str">
        <f>Q36</f>
        <v>Assets</v>
      </c>
      <c r="I43" s="73"/>
      <c r="J43" s="73"/>
      <c r="K43" s="73"/>
      <c r="L43" s="73"/>
      <c r="M43" s="73"/>
      <c r="Q43" s="2" t="s">
        <v>33</v>
      </c>
      <c r="T43" s="44"/>
      <c r="U43" s="44"/>
      <c r="V43" s="44"/>
      <c r="W43" s="44"/>
      <c r="X43" s="16">
        <v>135374</v>
      </c>
      <c r="Y43" s="44"/>
      <c r="Z43" s="44"/>
      <c r="AA43" s="44"/>
      <c r="AB43" s="44"/>
      <c r="AC43" s="44"/>
    </row>
    <row r="44" spans="2:29" ht="16.5" customHeight="1" x14ac:dyDescent="0.2">
      <c r="B44" t="s">
        <v>18</v>
      </c>
      <c r="C44"/>
      <c r="D44"/>
      <c r="E44"/>
      <c r="F44" s="75">
        <f>X12</f>
        <v>243130</v>
      </c>
      <c r="G44"/>
      <c r="H44" t="str">
        <f>Q38</f>
        <v>Current Assets</v>
      </c>
      <c r="I44"/>
      <c r="J44"/>
      <c r="K44"/>
      <c r="L44"/>
      <c r="M44" s="75">
        <f>X38</f>
        <v>395685</v>
      </c>
      <c r="Q44" s="2" t="s">
        <v>34</v>
      </c>
      <c r="T44" s="44"/>
      <c r="U44" s="44"/>
      <c r="V44" s="44"/>
      <c r="W44" s="44"/>
      <c r="X44" s="16">
        <v>384962</v>
      </c>
      <c r="Y44" s="44"/>
      <c r="Z44" s="44"/>
      <c r="AA44" s="44"/>
      <c r="AB44" s="44"/>
      <c r="AC44" s="44"/>
    </row>
    <row r="45" spans="2:29" x14ac:dyDescent="0.2">
      <c r="B45" s="73" t="s">
        <v>13</v>
      </c>
      <c r="C45"/>
      <c r="D45"/>
      <c r="E45"/>
      <c r="F45" s="75"/>
      <c r="G45"/>
      <c r="H45" t="str">
        <f>Q40</f>
        <v>Non-current Assets</v>
      </c>
      <c r="I45"/>
      <c r="J45"/>
      <c r="K45"/>
      <c r="L45"/>
      <c r="M45" s="75">
        <f>X40</f>
        <v>589610</v>
      </c>
      <c r="Q45" s="2" t="s">
        <v>35</v>
      </c>
      <c r="T45" s="44"/>
      <c r="U45" s="44"/>
      <c r="V45" s="44"/>
      <c r="W45" s="44"/>
      <c r="X45" s="16">
        <v>464959</v>
      </c>
      <c r="Y45" s="44"/>
      <c r="Z45" s="44"/>
      <c r="AA45" s="44"/>
      <c r="AB45" s="44"/>
      <c r="AC45" s="44"/>
    </row>
    <row r="46" spans="2:29" ht="17" thickBot="1" x14ac:dyDescent="0.25">
      <c r="B46" s="74" t="s">
        <v>14</v>
      </c>
      <c r="C46"/>
      <c r="D46"/>
      <c r="E46"/>
      <c r="F46" s="75">
        <f>X20</f>
        <v>85735</v>
      </c>
      <c r="G46"/>
      <c r="H46" s="80" t="str">
        <f>Q41</f>
        <v>Total Assets</v>
      </c>
      <c r="I46" s="80"/>
      <c r="J46" s="80"/>
      <c r="K46" s="80"/>
      <c r="L46" s="80"/>
      <c r="M46" s="81">
        <f>X41</f>
        <v>985295</v>
      </c>
      <c r="Q46" s="6" t="s">
        <v>36</v>
      </c>
      <c r="T46" s="44"/>
      <c r="U46" s="44"/>
      <c r="V46" s="44"/>
      <c r="W46" s="44"/>
      <c r="X46" s="11">
        <f>SUM(X43:X45)</f>
        <v>985295</v>
      </c>
      <c r="Y46" s="44"/>
      <c r="Z46" s="44"/>
      <c r="AA46" s="44"/>
      <c r="AB46" s="44"/>
      <c r="AC46" s="44"/>
    </row>
    <row r="47" spans="2:29" ht="17" thickTop="1" x14ac:dyDescent="0.2">
      <c r="B47" s="74" t="s">
        <v>15</v>
      </c>
      <c r="C47"/>
      <c r="D47"/>
      <c r="E47"/>
      <c r="F47" s="75">
        <f>X21</f>
        <v>39236</v>
      </c>
      <c r="G47"/>
      <c r="H47" s="6" t="s">
        <v>32</v>
      </c>
      <c r="I47" s="73"/>
      <c r="J47" s="73"/>
      <c r="K47" s="73"/>
      <c r="L47" s="73"/>
      <c r="M47" s="78"/>
    </row>
    <row r="48" spans="2:29" x14ac:dyDescent="0.2">
      <c r="B48" s="74" t="s">
        <v>16</v>
      </c>
      <c r="C48"/>
      <c r="D48"/>
      <c r="E48"/>
      <c r="F48" s="75">
        <f>X22</f>
        <v>48241.35</v>
      </c>
      <c r="G48"/>
      <c r="H48" s="2" t="s">
        <v>33</v>
      </c>
      <c r="I48"/>
      <c r="J48"/>
      <c r="K48"/>
      <c r="L48"/>
      <c r="M48" s="79">
        <v>135374</v>
      </c>
    </row>
    <row r="49" spans="2:13" x14ac:dyDescent="0.2">
      <c r="B49" s="74" t="s">
        <v>17</v>
      </c>
      <c r="C49"/>
      <c r="D49"/>
      <c r="E49"/>
      <c r="F49" s="75">
        <f>X23</f>
        <v>4500</v>
      </c>
      <c r="G49"/>
      <c r="H49" s="2" t="s">
        <v>34</v>
      </c>
      <c r="I49"/>
      <c r="J49"/>
      <c r="K49"/>
      <c r="L49"/>
      <c r="M49" s="79">
        <v>384962</v>
      </c>
    </row>
    <row r="50" spans="2:13" ht="16" x14ac:dyDescent="0.2">
      <c r="B50" s="76" t="s">
        <v>59</v>
      </c>
      <c r="C50" s="76"/>
      <c r="D50" s="76"/>
      <c r="E50" s="76"/>
      <c r="F50" s="77">
        <f>SUM(F46:F49)</f>
        <v>177712.35</v>
      </c>
      <c r="G50"/>
      <c r="H50" s="6" t="s">
        <v>35</v>
      </c>
      <c r="I50" s="73"/>
      <c r="J50" s="73"/>
      <c r="K50" s="73"/>
      <c r="L50" s="73"/>
      <c r="M50" s="79">
        <v>464959</v>
      </c>
    </row>
    <row r="51" spans="2:13" ht="17" thickBot="1" x14ac:dyDescent="0.25">
      <c r="B51" s="80" t="s">
        <v>60</v>
      </c>
      <c r="C51" s="82"/>
      <c r="D51" s="82"/>
      <c r="E51" s="82"/>
      <c r="F51" s="81">
        <f>F43-F44-F50</f>
        <v>70080.649999999994</v>
      </c>
      <c r="G51"/>
      <c r="H51" s="83" t="s">
        <v>36</v>
      </c>
      <c r="I51" s="80"/>
      <c r="J51" s="80"/>
      <c r="K51" s="80"/>
      <c r="L51" s="80"/>
      <c r="M51" s="84">
        <f>SUM(M48:M50)</f>
        <v>985295</v>
      </c>
    </row>
    <row r="52" spans="2:13" ht="16" thickTop="1" x14ac:dyDescent="0.2"/>
    <row r="54" spans="2:13" ht="46" customHeight="1" x14ac:dyDescent="0.2"/>
  </sheetData>
  <pageMargins left="0.7" right="0.7" top="0.75" bottom="0.75" header="0.3" footer="0.3"/>
  <pageSetup scale="67" orientation="portrait" r:id="rId1"/>
  <rowBreaks count="1" manualBreakCount="1">
    <brk id="52" max="16383" man="1"/>
  </rowBreaks>
  <colBreaks count="1" manualBreakCount="1">
    <brk id="14" max="1048575" man="1"/>
  </colBreaks>
  <ignoredErrors>
    <ignoredError sqref="D34" formulaRange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B281BFE6-D656-234B-9BA4-333BD40296A1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M32 M38 M40</xm:sqref>
        </x14:conditionalFormatting>
        <x14:conditionalFormatting xmlns:xm="http://schemas.microsoft.com/office/excel/2006/main">
          <x14:cfRule type="iconSet" priority="1" id="{2FBD6CFA-76DA-9A40-B75A-054753B42ABA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iangles" iconId="2"/>
              <x14:cfIcon iconSet="3Triangles" iconId="1"/>
              <x14:cfIcon iconSet="3Triangles" iconId="0"/>
            </x14:iconSet>
          </x14:cfRule>
          <xm:sqref>M34 M36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375B9AA6-C002-5A4A-8093-A2F540103087}">
          <x14:colorSeries rgb="FF376092"/>
          <x14:colorNegative rgb="FFD00000"/>
          <x14:colorAxis rgb="FF000000"/>
          <x14:colorMarkers rgb="FF1E8496"/>
          <x14:colorFirst rgb="FFD00000"/>
          <x14:colorLast rgb="FFD00000"/>
          <x14:colorHigh rgb="FFD00000"/>
          <x14:colorLow rgb="FFD00000"/>
          <x14:sparklines>
            <x14:sparkline>
              <xm:f>Dashboard_2!T15:X15</xm:f>
              <xm:sqref>F40</xm:sqref>
            </x14:sparkline>
          </x14:sparklines>
        </x14:sparklineGroup>
        <x14:sparklineGroup displayEmptyCellsAs="gap" markers="1" xr2:uid="{9DDBFC47-6CBF-354C-B319-1F55E3FA477D}">
          <x14:colorSeries rgb="FF376092"/>
          <x14:colorNegative rgb="FFD00000"/>
          <x14:colorAxis rgb="FF000000"/>
          <x14:colorMarkers rgb="FF1E8496"/>
          <x14:colorFirst rgb="FFD00000"/>
          <x14:colorLast rgb="FFD00000"/>
          <x14:colorHigh rgb="FFD00000"/>
          <x14:colorLow rgb="FFD00000"/>
          <x14:sparklines>
            <x14:sparkline>
              <xm:f>Dashboard_2!T14:X14</xm:f>
              <xm:sqref>F38</xm:sqref>
            </x14:sparkline>
          </x14:sparklines>
        </x14:sparklineGroup>
        <x14:sparklineGroup displayEmptyCellsAs="gap" markers="1" xr2:uid="{CA4C3CFF-5258-0441-9FE1-DE7828EE1E5E}">
          <x14:colorSeries rgb="FF376092"/>
          <x14:colorNegative rgb="FFD00000"/>
          <x14:colorAxis rgb="FF000000"/>
          <x14:colorMarkers rgb="FF1E8496"/>
          <x14:colorFirst rgb="FFD00000"/>
          <x14:colorLast rgb="FFD00000"/>
          <x14:colorHigh rgb="FFD00000"/>
          <x14:colorLow rgb="FFD00000"/>
          <x14:sparklines>
            <x14:sparkline>
              <xm:f>Dashboard_2!T24:X24</xm:f>
              <xm:sqref>F36</xm:sqref>
            </x14:sparkline>
          </x14:sparklines>
        </x14:sparklineGroup>
        <x14:sparklineGroup displayEmptyCellsAs="gap" markers="1" xr2:uid="{95ECBBB9-5F7C-9B4E-A522-5D7B9F62D7BF}">
          <x14:colorSeries rgb="FF376092"/>
          <x14:colorNegative rgb="FFD00000"/>
          <x14:colorAxis rgb="FF000000"/>
          <x14:colorMarkers rgb="FF1E8496"/>
          <x14:colorFirst rgb="FFD00000"/>
          <x14:colorLast rgb="FFD00000"/>
          <x14:colorHigh rgb="FFD00000"/>
          <x14:colorLow rgb="FFD00000"/>
          <x14:sparklines>
            <x14:sparkline>
              <xm:f>Dashboard_2!T12:X12</xm:f>
              <xm:sqref>F34</xm:sqref>
            </x14:sparkline>
          </x14:sparklines>
        </x14:sparklineGroup>
        <x14:sparklineGroup displayEmptyCellsAs="gap" markers="1" xr2:uid="{0F1425AD-9E0D-EA42-9A41-CDC152D290CB}">
          <x14:colorSeries rgb="FF376092"/>
          <x14:colorNegative rgb="FFD00000"/>
          <x14:colorAxis rgb="FF000000"/>
          <x14:colorMarkers rgb="FF1E8496"/>
          <x14:colorFirst rgb="FFD00000"/>
          <x14:colorLast rgb="FFD00000"/>
          <x14:colorHigh rgb="FFD00000"/>
          <x14:colorLow rgb="FFD00000"/>
          <x14:sparklines>
            <x14:sparkline>
              <xm:f>Dashboard_2!T10:X10</xm:f>
              <xm:sqref>F32</xm:sqref>
            </x14:sparkline>
          </x14:sparklines>
        </x14:sparklineGroup>
        <x14:sparklineGroup type="column" displayEmptyCellsAs="gap" xr2:uid="{6137122A-9C48-DA4E-8813-BF8AE4E8E07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Dashboard_2!T15:X15</xm:f>
              <xm:sqref>E40</xm:sqref>
            </x14:sparkline>
          </x14:sparklines>
        </x14:sparklineGroup>
        <x14:sparklineGroup type="column" displayEmptyCellsAs="gap" xr2:uid="{56E10373-C2DC-2041-B7F7-3C20E99597A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Dashboard_2!T14:X14</xm:f>
              <xm:sqref>E38</xm:sqref>
            </x14:sparkline>
          </x14:sparklines>
        </x14:sparklineGroup>
        <x14:sparklineGroup type="column" displayEmptyCellsAs="gap" xr2:uid="{52331D56-4018-6540-A3F4-08E6065AF9E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Dashboard_2!T24:X24</xm:f>
              <xm:sqref>E36</xm:sqref>
            </x14:sparkline>
          </x14:sparklines>
        </x14:sparklineGroup>
        <x14:sparklineGroup type="column" displayEmptyCellsAs="gap" xr2:uid="{5AE3D697-85C0-B949-AF9F-008223EA1DE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Dashboard_2!T12:X12</xm:f>
              <xm:sqref>E34</xm:sqref>
            </x14:sparkline>
          </x14:sparklines>
        </x14:sparklineGroup>
        <x14:sparklineGroup type="column" displayEmptyCellsAs="gap" xr2:uid="{AC39621C-5563-544E-96C0-06C27CB2D66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Dashboard_2!T10:X10</xm:f>
              <xm:sqref>E32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Cover Page</vt:lpstr>
      <vt:lpstr>Dashboard_2</vt:lpstr>
      <vt:lpstr>'Cover Page'!Print_Area</vt:lpstr>
      <vt:lpstr>Dashboard_2!Print_Area</vt:lpstr>
    </vt:vector>
  </TitlesOfParts>
  <Company>Onlineshoes.com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CFI</dc:creator>
  <cp:lastModifiedBy>Shravani Goud Dindu</cp:lastModifiedBy>
  <cp:lastPrinted>2025-08-04T04:37:49Z</cp:lastPrinted>
  <dcterms:created xsi:type="dcterms:W3CDTF">2016-03-28T18:22:40Z</dcterms:created>
  <dcterms:modified xsi:type="dcterms:W3CDTF">2025-08-04T04:38:25Z</dcterms:modified>
</cp:coreProperties>
</file>